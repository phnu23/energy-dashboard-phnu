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New folder\เดสก์ท็อป\New folder\"/>
    </mc:Choice>
  </mc:AlternateContent>
  <xr:revisionPtr revIDLastSave="0" documentId="13_ncr:1_{EFFB54B2-E08A-4359-95B3-DDDB6A4B8E1E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Dashboard" sheetId="1" r:id="rId1"/>
    <sheet name="Energy Data" sheetId="2" r:id="rId2"/>
    <sheet name="คำนวณ CL" sheetId="3" r:id="rId3"/>
    <sheet name="คำแนะนำ Real-tim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3" l="1"/>
  <c r="C16" i="3"/>
  <c r="B16" i="3"/>
  <c r="E15" i="3"/>
  <c r="D15" i="3"/>
  <c r="C15" i="3"/>
  <c r="B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F17" i="3" s="1"/>
  <c r="E3" i="3"/>
  <c r="E17" i="3" s="1"/>
  <c r="B21" i="2"/>
  <c r="C15" i="2"/>
  <c r="D15" i="2" s="1"/>
  <c r="B15" i="2"/>
  <c r="F14" i="2"/>
  <c r="C14" i="2"/>
  <c r="D80" i="1" s="1"/>
  <c r="B14" i="2"/>
  <c r="B22" i="2" s="1"/>
  <c r="F13" i="2"/>
  <c r="G79" i="1" s="1"/>
  <c r="E13" i="2"/>
  <c r="D13" i="2"/>
  <c r="F12" i="2"/>
  <c r="E12" i="2"/>
  <c r="D12" i="2"/>
  <c r="F11" i="2"/>
  <c r="E11" i="2"/>
  <c r="D11" i="2"/>
  <c r="F10" i="2"/>
  <c r="G76" i="1" s="1"/>
  <c r="E10" i="2"/>
  <c r="F76" i="1" s="1"/>
  <c r="D10" i="2"/>
  <c r="F9" i="2"/>
  <c r="G75" i="1" s="1"/>
  <c r="E9" i="2"/>
  <c r="D9" i="2"/>
  <c r="F8" i="2"/>
  <c r="E8" i="2"/>
  <c r="F74" i="1" s="1"/>
  <c r="D8" i="2"/>
  <c r="E74" i="1" s="1"/>
  <c r="F7" i="2"/>
  <c r="G73" i="1" s="1"/>
  <c r="E7" i="2"/>
  <c r="D7" i="2"/>
  <c r="F6" i="2"/>
  <c r="G72" i="1" s="1"/>
  <c r="E6" i="2"/>
  <c r="D6" i="2"/>
  <c r="F5" i="2"/>
  <c r="G71" i="1" s="1"/>
  <c r="E5" i="2"/>
  <c r="D5" i="2"/>
  <c r="E71" i="1" s="1"/>
  <c r="F4" i="2"/>
  <c r="G70" i="1" s="1"/>
  <c r="E4" i="2"/>
  <c r="D4" i="2"/>
  <c r="F3" i="2"/>
  <c r="G69" i="1" s="1"/>
  <c r="E3" i="2"/>
  <c r="D3" i="2"/>
  <c r="F2" i="2"/>
  <c r="G68" i="1" s="1"/>
  <c r="E2" i="2"/>
  <c r="D2" i="2"/>
  <c r="B83" i="1"/>
  <c r="C80" i="1"/>
  <c r="J79" i="1"/>
  <c r="F79" i="1"/>
  <c r="E79" i="1"/>
  <c r="D79" i="1"/>
  <c r="C79" i="1"/>
  <c r="B79" i="1"/>
  <c r="J78" i="1"/>
  <c r="G78" i="1"/>
  <c r="F78" i="1"/>
  <c r="E78" i="1"/>
  <c r="D78" i="1"/>
  <c r="C78" i="1"/>
  <c r="B78" i="1"/>
  <c r="J77" i="1"/>
  <c r="G77" i="1"/>
  <c r="F77" i="1"/>
  <c r="E77" i="1"/>
  <c r="D77" i="1"/>
  <c r="C77" i="1"/>
  <c r="B77" i="1"/>
  <c r="J76" i="1"/>
  <c r="E76" i="1"/>
  <c r="D76" i="1"/>
  <c r="C76" i="1"/>
  <c r="B76" i="1"/>
  <c r="J75" i="1"/>
  <c r="F75" i="1"/>
  <c r="E75" i="1"/>
  <c r="D75" i="1"/>
  <c r="C75" i="1"/>
  <c r="B75" i="1"/>
  <c r="J74" i="1"/>
  <c r="G74" i="1"/>
  <c r="D74" i="1"/>
  <c r="C74" i="1"/>
  <c r="B74" i="1"/>
  <c r="J73" i="1"/>
  <c r="F73" i="1"/>
  <c r="E73" i="1"/>
  <c r="D73" i="1"/>
  <c r="C73" i="1"/>
  <c r="B73" i="1"/>
  <c r="J72" i="1"/>
  <c r="F72" i="1"/>
  <c r="E72" i="1"/>
  <c r="D72" i="1"/>
  <c r="C72" i="1"/>
  <c r="B72" i="1"/>
  <c r="J71" i="1"/>
  <c r="F71" i="1"/>
  <c r="D71" i="1"/>
  <c r="C71" i="1"/>
  <c r="B71" i="1"/>
  <c r="J70" i="1"/>
  <c r="F70" i="1"/>
  <c r="E70" i="1"/>
  <c r="D70" i="1"/>
  <c r="C70" i="1"/>
  <c r="B70" i="1"/>
  <c r="J69" i="1"/>
  <c r="F69" i="1"/>
  <c r="E69" i="1"/>
  <c r="D69" i="1"/>
  <c r="C69" i="1"/>
  <c r="B69" i="1"/>
  <c r="J68" i="1"/>
  <c r="F68" i="1"/>
  <c r="E68" i="1"/>
  <c r="D68" i="1"/>
  <c r="C68" i="1"/>
  <c r="B68" i="1"/>
  <c r="J12" i="1"/>
  <c r="F12" i="1"/>
  <c r="B12" i="1"/>
  <c r="J7" i="1"/>
  <c r="B7" i="1"/>
  <c r="F7" i="1" l="1"/>
  <c r="E80" i="1"/>
  <c r="F80" i="1"/>
  <c r="G80" i="1"/>
  <c r="E15" i="2"/>
  <c r="H14" i="3"/>
  <c r="H11" i="3"/>
  <c r="H8" i="3"/>
  <c r="H5" i="3"/>
  <c r="G14" i="3"/>
  <c r="G11" i="3"/>
  <c r="G8" i="3"/>
  <c r="G5" i="3"/>
  <c r="H13" i="3"/>
  <c r="H10" i="3"/>
  <c r="H7" i="3"/>
  <c r="H4" i="3"/>
  <c r="G13" i="3"/>
  <c r="G10" i="3"/>
  <c r="G7" i="3"/>
  <c r="G4" i="3"/>
  <c r="H12" i="3"/>
  <c r="H9" i="3"/>
  <c r="H6" i="3"/>
  <c r="H3" i="3"/>
  <c r="G12" i="3"/>
  <c r="G9" i="3"/>
  <c r="G6" i="3"/>
  <c r="G3" i="3"/>
  <c r="D14" i="2"/>
  <c r="E14" i="2"/>
  <c r="F15" i="3"/>
  <c r="E16" i="3"/>
  <c r="F16" i="3"/>
</calcChain>
</file>

<file path=xl/sharedStrings.xml><?xml version="1.0" encoding="utf-8"?>
<sst xmlns="http://schemas.openxmlformats.org/spreadsheetml/2006/main" count="134" uniqueCount="110">
  <si>
    <t>⚡ ENERGY CONSUMPTION DASHBOARD</t>
  </si>
  <si>
    <t>ติดตามผลการลดการใช้พลังงาน : เป้าหมายลด 10% เทียบกับปี 2568  |  คณะสาธารณสุขศาสตร์ มหาวิทยาลัยนเรศวร</t>
  </si>
  <si>
    <t>🎯 เป้าหมายรวมทั้งปี</t>
  </si>
  <si>
    <t>⚡ ใช้จริงสะสม</t>
  </si>
  <si>
    <t>📉 ผลต่างสะสม VS ค่าเป้าหมายสะสม</t>
  </si>
  <si>
    <t>✅ เดือนที่บรรลุเป้า</t>
  </si>
  <si>
    <t>🔥 เดือนใช้ไฟสูงสุด</t>
  </si>
  <si>
    <t>📅 เดือนล่าสุด</t>
  </si>
  <si>
    <t>📈 เปรียบเทียบเป้าหมายและปริมาณจริงรายเดือน</t>
  </si>
  <si>
    <t>⭐ Control Chart  |  UCL = 67,870  •  CL = 52,900  •  LCL = 31,660</t>
  </si>
  <si>
    <t>📋 ตารางสรุปผลการดำเนินงาน 12 เดือน</t>
  </si>
  <si>
    <t>เดือน</t>
  </si>
  <si>
    <t>เป้าหมาย</t>
  </si>
  <si>
    <t>ปริมาณจริง</t>
  </si>
  <si>
    <t>ผลต่าง</t>
  </si>
  <si>
    <t>% ผลต่าง</t>
  </si>
  <si>
    <t>สถานะ + UCL/LCL</t>
  </si>
  <si>
    <t>กิจกรรมการดำเนินงาน</t>
  </si>
  <si>
    <t>รวม</t>
  </si>
  <si>
    <t>รวมกิจกรรมทั้งปี</t>
  </si>
  <si>
    <t>💡 กรอกข้อมูล 'ปริมาณจริง (kWh)' ในชีท 'Energy Data' คอลัมน์ C → Dashboard อัปเดตอัตโนมัติ</t>
  </si>
  <si>
    <t>เป้าหมาย (kWh)</t>
  </si>
  <si>
    <t>ปริมาณจริง (kWh)</t>
  </si>
  <si>
    <t>ผลต่าง (kWh)</t>
  </si>
  <si>
    <t>สถานะ</t>
  </si>
  <si>
    <t>Upper Control Limit - UCL</t>
  </si>
  <si>
    <t>Center Line - CL</t>
  </si>
  <si>
    <t>Lower Control Limit - LCL</t>
  </si>
  <si>
    <t>ตุลาคม</t>
  </si>
  <si>
    <t>ตรวจสอบระบบปรับอากาศ ปรับอุณหภูมิ 25°C</t>
  </si>
  <si>
    <t>พฤศจิกายน</t>
  </si>
  <si>
    <t>รณรงค์เรื่องการประหยัดพลังงาน</t>
  </si>
  <si>
    <t>ธันวาคม</t>
  </si>
  <si>
    <t>เปลี่ยนหลอดไฟ LED ในพื้นที่สำนักงาน</t>
  </si>
  <si>
    <t>มกราคม</t>
  </si>
  <si>
    <t>ติดตั้ง Sensor ตรวจจับการเคลื่อนไหว</t>
  </si>
  <si>
    <t>กุมภาพันธ์</t>
  </si>
  <si>
    <t>บำรุงรักษาระบบปรับอากาศ ตรวจสอบ Compressor</t>
  </si>
  <si>
    <t>มีนาคม</t>
  </si>
  <si>
    <t>ประกาศมาตรการประหยัดพลังงานในสถานการณ์ราคาน้ำมันผันผวน</t>
  </si>
  <si>
    <t>เมษายน</t>
  </si>
  <si>
    <t>รณรงค์ปิดไฟ-เครื่องปรับอากาศพักเที่ยง</t>
  </si>
  <si>
    <t>พฤษภาคม</t>
  </si>
  <si>
    <t>มิถุนายน</t>
  </si>
  <si>
    <t>กรกฎาคม</t>
  </si>
  <si>
    <t>สิงหาคม</t>
  </si>
  <si>
    <t>กันยายน</t>
  </si>
  <si>
    <t>รวมทั้งปี</t>
  </si>
  <si>
    <t>ผลรวมทั้งปีงบประมาณ</t>
  </si>
  <si>
    <t>ค่าเฉลี่ย/เดือน</t>
  </si>
  <si>
    <t>ค่าเฉลี่ยต่อเดือน</t>
  </si>
  <si>
    <t>📊 ค่าควบคุม (Control Limits)</t>
  </si>
  <si>
    <t>ค่าคงที่จากการคำนวณ Control Chart 3 ปีย้อนหลัง</t>
  </si>
  <si>
    <t>ค่าคงที่ (ค่ากลาง)</t>
  </si>
  <si>
    <t>Standard Deviation</t>
  </si>
  <si>
    <t>ส่วนเบี่ยงเบนมาตรฐาน</t>
  </si>
  <si>
    <t>เป้าหมายทั้งปี</t>
  </si>
  <si>
    <t>kWh (ลด 10% จากปี 2568)</t>
  </si>
  <si>
    <t>📐 การคำนวณ Control Limits จากข้อมูลย้อนหลัง 3 ปี</t>
  </si>
  <si>
    <t>A2 (n=3)</t>
  </si>
  <si>
    <t>ปี 2566</t>
  </si>
  <si>
    <t>ปี 2567</t>
  </si>
  <si>
    <t>ปี 2568</t>
  </si>
  <si>
    <t>Mean (X̄)</t>
  </si>
  <si>
    <t>Range (R)</t>
  </si>
  <si>
    <t>UCL</t>
  </si>
  <si>
    <t>LCL</t>
  </si>
  <si>
    <t>ค่าเฉลี่ย</t>
  </si>
  <si>
    <t>X̄ (Grand Mean) | R̄</t>
  </si>
  <si>
    <t>📝 สูตรการคำนวณ:</t>
  </si>
  <si>
    <t>• Mean (X̄) = ค่าเฉลี่ยของข้อมูล 3 ปี ในแต่ละเดือน</t>
  </si>
  <si>
    <t>• Range (R) = Max − Min ของข้อมูล 3 ปี ในแต่ละเดือน</t>
  </si>
  <si>
    <t>• Grand Mean (X̄̄) = ค่าเฉลี่ยของ Mean ทุกเดือน</t>
  </si>
  <si>
    <t>• R̄ = ค่าเฉลี่ยของ Range ทุกเดือน</t>
  </si>
  <si>
    <t>• A2 = 1.023 (ค่าคงที่สำหรับ n=3 ตาม Statistical Control Chart)</t>
  </si>
  <si>
    <t>• Upper Control Limit - UCL = X̄̄ + (A2 × R̄)</t>
  </si>
  <si>
    <t>• Center Line - CL = X̄̄ (ค่ากลาง)</t>
  </si>
  <si>
    <t>• Lower Control Limit - LCL = X̄̄ − (A2 × R̄)</t>
  </si>
  <si>
    <t>• ถ้าค่าจริงตกนอกช่วง UCL-LCL = ผิดปกติ ควรหาสาเหตุและแก้ไข</t>
  </si>
  <si>
    <t>📐 ค่าควบคุมที่ใช้จริงใน Dashboard</t>
  </si>
  <si>
    <t>🔗 วิธีเชื่อม Google Sheets แบบ Real-time</t>
  </si>
  <si>
    <t>▶  ขั้นตอนที่ 1: อัปโหลดไฟล์เข้า Google Sheets</t>
  </si>
  <si>
    <t>1.1  เปิด https://drive.google.com แล้วล็อกอินด้วยบัญชี Google</t>
  </si>
  <si>
    <t>1.2  คลิก "+ ใหม่" / "+ New" → "อัปโหลดไฟล์" → เลือกไฟล์ Energy_Dashboard.xlsx</t>
  </si>
  <si>
    <t>1.3  คลิกขวาที่ไฟล์ → "เปิดด้วย" → "Google Sheets"</t>
  </si>
  <si>
    <t>1.4  ระบบจะแปลงเป็น Google Sheets อัตโนมัติ - สูตรและกราฟทำงานทันที</t>
  </si>
  <si>
    <t>▶  ขั้นตอนที่ 2: ตั้งค่าการแชร์เพื่อให้ Dashboard อ่านข้อมูลได้</t>
  </si>
  <si>
    <t>2.1  คลิกปุ่ม "แชร์" / "Share" สีเขียวมุมขวาบน</t>
  </si>
  <si>
    <t>2.2  ในส่วน "การเข้าถึงทั่วไป" / "General access"</t>
  </si>
  <si>
    <t>2.3  เปลี่ยนจาก "จำกัด" เป็น "ทุกคนที่มีลิงก์" (Anyone with the link)</t>
  </si>
  <si>
    <t>2.4  ตั้งสิทธิ์เป็น "ผู้ดู" (Viewer) — ห้ามเป็น Editor!</t>
  </si>
  <si>
    <t>2.5  คลิก "คัดลอกลิงก์" / "Copy link" แล้วคลิก "เสร็จสิ้น"</t>
  </si>
  <si>
    <t>▶  ขั้นตอนที่ 3: เปิด Dashboard HTML และเชื่อมข้อมูล</t>
  </si>
  <si>
    <t>3.1  เปิดไฟล์ Energy_Dashboard.html ที่แนบมาด้วยเบราว์เซอร์ (Chrome/Edge/Safari)</t>
  </si>
  <si>
    <t>3.2  วาง URL ของ Google Sheets ในช่อง "Google Sheets URL"</t>
  </si>
  <si>
    <t>3.3  คลิกปุ่ม "🔄 SYNC DATA" สีน้ำเงิน</t>
  </si>
  <si>
    <t>3.4  หากเชื่อมสำเร็จ สถานะมุมขวาบนจะเปลี่ยนเป็น "● LIVE" สีเขียว</t>
  </si>
  <si>
    <t>3.5  เปิด "AUTO REFRESH" เพื่อให้ Dashboard อัปเดตอัตโนมัติทุก 60 วินาที</t>
  </si>
  <si>
    <t>▶  ขั้นตอนที่ 4: การกรอกข้อมูลในชีท Energy Data</t>
  </si>
  <si>
    <t>•  คอลัมน์ A: ชื่อเดือนภาษาไทย (อย่าเปลี่ยน)</t>
  </si>
  <si>
    <t>•  คอลัมน์ B: เป้าหมาย kWh ของเดือนนั้น (ตัวเลขเท่านั้น)</t>
  </si>
  <si>
    <t>•  คอลัมน์ C: ปริมาณการใช้จริง kWh เมื่อสิ้นเดือน → เดือนที่ยังไม่ผ่านให้เว้นว่าง</t>
  </si>
  <si>
    <t>•  คอลัมน์ J: บันทึกกิจกรรมประหยัดพลังงานที่ทำในเดือนนั้น</t>
  </si>
  <si>
    <t>•  คอลัมน์ D, E, F, G, H, I: คำนวณอัตโนมัติ ห้ามแก้</t>
  </si>
  <si>
    <t>▶  ⚠️ ข้อควรระวัง: สิ่งที่ห้ามทำ</t>
  </si>
  <si>
    <t>!  ห้ามลบหรือเปลี่ยนชื่อชีท "Energy Data" - Dashboard จะอ่านจากชีทนี้เท่านั้น</t>
  </si>
  <si>
    <t>!  ห้ามใส่หน่วย "kWh" ในช่องตัวเลข - ใส่ตัวเลขล้วนเท่านั้น</t>
  </si>
  <si>
    <t>!  ห้ามเปลี่ยนชื่อเดือนเป็นภาษาอังกฤษ Dashboard จะหาไม่เจอ</t>
  </si>
  <si>
    <t>!  หากกราฟไม่แสดงข้อมูลใหม่ - กดปุ่ม "🔄 SYNC DATA" อีกครั้ง</t>
  </si>
  <si>
    <t>!  ตรวจสอบว่าตั้งค่าแชร์เป็น "Anyone with the link, Viewer" 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</si>
</sst>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87" formatCode="#,##0&quot; kWh&quot;"/>
    <numFmt numFmtId="188" formatCode="\+#,##0&quot; kWh&quot;;[Red]\-#,##0&quot; kWh&quot;;\-"/>
    <numFmt numFmtId="189" formatCode="#,##0;[Red]\(#,##0\);\-"/>
    <numFmt numFmtId="190" formatCode="0.0%;[Red]\-0.0%;\-"/>
    <numFmt numFmtId="191" formatCode="\+0.0%;[Red]\-0.0%;\-"/>
    <numFmt numFmtId="192" formatCode="0.000"/>
  </numFmts>
  <fonts count="29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b/>
      <i/>
      <sz val="11"/>
      <color rgb="FF0D47A1"/>
      <name val="Arial"/>
      <charset val="1"/>
    </font>
    <font>
      <b/>
      <sz val="10"/>
      <color rgb="FFFFFFFF"/>
      <name val="Arial"/>
      <charset val="1"/>
    </font>
    <font>
      <b/>
      <sz val="22"/>
      <color rgb="FF0D47A1"/>
      <name val="Arial"/>
      <charset val="1"/>
    </font>
    <font>
      <b/>
      <sz val="22"/>
      <color rgb="FF1976D2"/>
      <name val="Arial"/>
      <charset val="1"/>
    </font>
    <font>
      <b/>
      <sz val="22"/>
      <color rgb="FF009688"/>
      <name val="Arial"/>
      <charset val="1"/>
    </font>
    <font>
      <b/>
      <sz val="18"/>
      <color rgb="FF2E7D32"/>
      <name val="Arial"/>
      <charset val="1"/>
    </font>
    <font>
      <b/>
      <sz val="22"/>
      <color rgb="FF03A9F4"/>
      <name val="Arial"/>
      <charset val="1"/>
    </font>
    <font>
      <b/>
      <sz val="18"/>
      <color rgb="FF009688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595959"/>
      <name val="Arial"/>
      <charset val="1"/>
    </font>
    <font>
      <i/>
      <sz val="9"/>
      <color rgb="FF595959"/>
      <name val="Arial"/>
      <charset val="1"/>
    </font>
    <font>
      <b/>
      <sz val="11"/>
      <name val="Arial"/>
      <charset val="1"/>
    </font>
    <font>
      <b/>
      <sz val="12"/>
      <color rgb="FFFFFFFF"/>
      <name val="Arial"/>
      <charset val="1"/>
    </font>
    <font>
      <b/>
      <sz val="11"/>
      <color rgb="FF0D47A1"/>
      <name val="Arial"/>
      <charset val="1"/>
    </font>
    <font>
      <b/>
      <sz val="11"/>
      <color rgb="FF2E7D32"/>
      <name val="Arial"/>
      <charset val="1"/>
    </font>
    <font>
      <b/>
      <sz val="11"/>
      <color rgb="FF1F4E79"/>
      <name val="Arial"/>
      <charset val="1"/>
    </font>
    <font>
      <sz val="10"/>
      <color rgb="FF333333"/>
      <name val="Arial"/>
      <charset val="1"/>
    </font>
    <font>
      <sz val="11"/>
      <color theme="1"/>
      <name val="FreeSans"/>
      <family val="2"/>
      <charset val="1"/>
    </font>
    <font>
      <b/>
      <sz val="14"/>
      <color rgb="FFC62828"/>
      <name val="Arial"/>
      <charset val="1"/>
    </font>
    <font>
      <b/>
      <sz val="14"/>
      <color rgb="FF43A047"/>
      <name val="Arial"/>
      <charset val="1"/>
    </font>
    <font>
      <b/>
      <sz val="14"/>
      <color rgb="FF00BCD4"/>
      <name val="Arial"/>
      <charset val="1"/>
    </font>
    <font>
      <b/>
      <sz val="20"/>
      <color rgb="FFFFFFFF"/>
      <name val="Arial"/>
      <charset val="1"/>
    </font>
    <font>
      <b/>
      <sz val="13"/>
      <color rgb="FFFFFFFF"/>
      <name val="Arial"/>
      <charset val="1"/>
    </font>
    <font>
      <sz val="11"/>
      <color rgb="FF333333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0D47A1"/>
        <bgColor rgb="FF1F4E79"/>
      </patternFill>
    </fill>
    <fill>
      <patternFill patternType="solid">
        <fgColor rgb="FFE3F2FD"/>
        <bgColor rgb="FFE0F7FA"/>
      </patternFill>
    </fill>
    <fill>
      <patternFill patternType="solid">
        <fgColor rgb="FF1976D2"/>
        <bgColor rgb="FF2E75B6"/>
      </patternFill>
    </fill>
    <fill>
      <patternFill patternType="solid">
        <fgColor rgb="FF00BCD4"/>
        <bgColor rgb="FF03A9F4"/>
      </patternFill>
    </fill>
    <fill>
      <patternFill patternType="solid">
        <fgColor rgb="FFE0F7FA"/>
        <bgColor rgb="FFE3F2FD"/>
      </patternFill>
    </fill>
    <fill>
      <patternFill patternType="solid">
        <fgColor rgb="FF2E7D32"/>
        <bgColor rgb="FF43A047"/>
      </patternFill>
    </fill>
    <fill>
      <patternFill patternType="solid">
        <fgColor rgb="FF03A9F4"/>
        <bgColor rgb="FF00BCD4"/>
      </patternFill>
    </fill>
    <fill>
      <patternFill patternType="solid">
        <fgColor rgb="FF009688"/>
        <bgColor rgb="FF1976D2"/>
      </patternFill>
    </fill>
    <fill>
      <patternFill patternType="solid">
        <fgColor rgb="FFC8E6C9"/>
        <bgColor rgb="FFD9D9D9"/>
      </patternFill>
    </fill>
    <fill>
      <patternFill patternType="solid">
        <fgColor rgb="FFB3E5FC"/>
        <bgColor rgb="FFC8E6C9"/>
      </patternFill>
    </fill>
    <fill>
      <patternFill patternType="solid">
        <fgColor rgb="FFE0F2F1"/>
        <bgColor rgb="FFE3F2FD"/>
      </patternFill>
    </fill>
    <fill>
      <patternFill patternType="solid">
        <fgColor rgb="FF43A047"/>
        <bgColor rgb="FF70AD47"/>
      </patternFill>
    </fill>
    <fill>
      <patternFill patternType="solid">
        <fgColor rgb="FFF8F9FA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0F2F1"/>
      </patternFill>
    </fill>
    <fill>
      <patternFill patternType="solid">
        <fgColor rgb="FFC62828"/>
        <bgColor rgb="FF993366"/>
      </patternFill>
    </fill>
    <fill>
      <patternFill patternType="solid">
        <fgColor rgb="FFF0F8FF"/>
        <bgColor rgb="FFF8F9FA"/>
      </patternFill>
    </fill>
    <fill>
      <patternFill patternType="solid">
        <fgColor rgb="FF1F4E79"/>
        <bgColor rgb="FF0D47A1"/>
      </patternFill>
    </fill>
    <fill>
      <patternFill patternType="solid">
        <fgColor rgb="FF2E75B6"/>
        <bgColor rgb="FF1976D2"/>
      </patternFill>
    </fill>
    <fill>
      <patternFill patternType="solid">
        <fgColor rgb="FF70AD47"/>
        <bgColor rgb="FF66BB6A"/>
      </patternFill>
    </fill>
    <fill>
      <patternFill patternType="solid">
        <fgColor rgb="FFED7D31"/>
        <bgColor rgb="FFFF9900"/>
      </patternFill>
    </fill>
    <fill>
      <patternFill patternType="solid">
        <fgColor rgb="FFC00000"/>
        <bgColor rgb="FF9C000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0" fillId="13" borderId="0" xfId="0" applyFont="1" applyFill="1" applyAlignment="1">
      <alignment horizontal="left" vertical="center" indent="1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indent="1"/>
    </xf>
    <xf numFmtId="189" fontId="13" fillId="0" borderId="1" xfId="0" applyNumberFormat="1" applyFont="1" applyBorder="1" applyAlignment="1">
      <alignment horizontal="right" vertical="center"/>
    </xf>
    <xf numFmtId="190" fontId="13" fillId="0" borderId="1" xfId="0" applyNumberFormat="1" applyFont="1" applyBorder="1" applyAlignment="1">
      <alignment horizontal="right" vertical="center"/>
    </xf>
    <xf numFmtId="0" fontId="12" fillId="14" borderId="1" xfId="0" applyFont="1" applyFill="1" applyBorder="1" applyAlignment="1">
      <alignment horizontal="left" vertical="center" indent="1"/>
    </xf>
    <xf numFmtId="189" fontId="13" fillId="14" borderId="1" xfId="0" applyNumberFormat="1" applyFont="1" applyFill="1" applyBorder="1" applyAlignment="1">
      <alignment horizontal="right" vertical="center"/>
    </xf>
    <xf numFmtId="190" fontId="13" fillId="14" borderId="1" xfId="0" applyNumberFormat="1" applyFont="1" applyFill="1" applyBorder="1" applyAlignment="1">
      <alignment horizontal="right" vertical="center"/>
    </xf>
    <xf numFmtId="189" fontId="11" fillId="2" borderId="1" xfId="0" applyNumberFormat="1" applyFont="1" applyFill="1" applyBorder="1" applyAlignment="1">
      <alignment horizontal="right" vertical="center"/>
    </xf>
    <xf numFmtId="191" fontId="11" fillId="2" borderId="1" xfId="0" applyNumberFormat="1" applyFont="1" applyFill="1" applyBorder="1" applyAlignment="1">
      <alignment horizontal="right" vertical="center"/>
    </xf>
    <xf numFmtId="0" fontId="14" fillId="15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14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190" fontId="11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>
      <alignment horizontal="left" vertical="center" indent="1"/>
    </xf>
    <xf numFmtId="3" fontId="18" fillId="16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left" vertical="center" indent="1"/>
    </xf>
    <xf numFmtId="3" fontId="13" fillId="16" borderId="1" xfId="0" applyNumberFormat="1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center" vertical="center"/>
    </xf>
    <xf numFmtId="192" fontId="19" fillId="10" borderId="1" xfId="0" applyNumberFormat="1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right" vertical="center"/>
    </xf>
    <xf numFmtId="0" fontId="12" fillId="14" borderId="1" xfId="0" applyFont="1" applyFill="1" applyBorder="1" applyAlignment="1">
      <alignment horizontal="center" vertical="center"/>
    </xf>
    <xf numFmtId="3" fontId="13" fillId="1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indent="1"/>
    </xf>
    <xf numFmtId="3" fontId="3" fillId="2" borderId="1" xfId="0" applyNumberFormat="1" applyFont="1" applyFill="1" applyBorder="1" applyAlignment="1">
      <alignment horizontal="right" vertical="center"/>
    </xf>
    <xf numFmtId="0" fontId="22" fillId="0" borderId="0" xfId="0" applyFont="1"/>
    <xf numFmtId="0" fontId="17" fillId="5" borderId="0" xfId="0" applyFont="1" applyFill="1" applyAlignment="1">
      <alignment horizontal="center" vertical="center"/>
    </xf>
    <xf numFmtId="0" fontId="0" fillId="0" borderId="0" xfId="0"/>
    <xf numFmtId="0" fontId="12" fillId="14" borderId="4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  <xf numFmtId="187" fontId="4" fillId="3" borderId="0" xfId="0" applyNumberFormat="1" applyFont="1" applyFill="1" applyAlignment="1">
      <alignment horizontal="center" vertical="center"/>
    </xf>
    <xf numFmtId="187" fontId="5" fillId="3" borderId="0" xfId="0" applyNumberFormat="1" applyFont="1" applyFill="1" applyAlignment="1">
      <alignment horizontal="center" vertical="center"/>
    </xf>
    <xf numFmtId="188" fontId="6" fillId="6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 indent="1"/>
    </xf>
    <xf numFmtId="187" fontId="25" fillId="18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 indent="1"/>
    </xf>
    <xf numFmtId="187" fontId="23" fillId="18" borderId="0" xfId="0" applyNumberFormat="1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 indent="1"/>
    </xf>
    <xf numFmtId="187" fontId="24" fillId="18" borderId="0" xfId="0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left" vertical="center" indent="2"/>
    </xf>
    <xf numFmtId="0" fontId="10" fillId="2" borderId="0" xfId="0" applyFont="1" applyFill="1" applyAlignment="1">
      <alignment horizontal="center" vertical="center"/>
    </xf>
    <xf numFmtId="0" fontId="20" fillId="0" borderId="0" xfId="0" applyFont="1"/>
    <xf numFmtId="0" fontId="28" fillId="14" borderId="0" xfId="0" applyFont="1" applyFill="1" applyAlignment="1">
      <alignment horizontal="left" vertical="center" wrapText="1" indent="2"/>
    </xf>
    <xf numFmtId="0" fontId="27" fillId="23" borderId="0" xfId="0" applyFont="1" applyFill="1" applyAlignment="1">
      <alignment horizontal="left" vertical="center" indent="1"/>
    </xf>
    <xf numFmtId="0" fontId="27" fillId="22" borderId="0" xfId="0" applyFont="1" applyFill="1" applyAlignment="1">
      <alignment horizontal="left" vertical="center" indent="1"/>
    </xf>
    <xf numFmtId="0" fontId="27" fillId="21" borderId="0" xfId="0" applyFont="1" applyFill="1" applyAlignment="1">
      <alignment horizontal="left" vertical="center" indent="1"/>
    </xf>
    <xf numFmtId="0" fontId="27" fillId="20" borderId="0" xfId="0" applyFont="1" applyFill="1" applyAlignment="1">
      <alignment horizontal="left" vertical="center" indent="1"/>
    </xf>
    <xf numFmtId="0" fontId="26" fillId="19" borderId="0" xfId="0" applyFont="1" applyFill="1" applyAlignment="1">
      <alignment horizontal="center" vertical="center"/>
    </xf>
    <xf numFmtId="0" fontId="27" fillId="19" borderId="0" xfId="0" applyFont="1" applyFill="1" applyAlignment="1">
      <alignment horizontal="left" vertical="center" indent="1"/>
    </xf>
  </cellXfs>
  <cellStyles count="1">
    <cellStyle name="Normal" xfId="0" builtinId="0"/>
  </cellStyles>
  <dxfs count="11">
    <dxf>
      <font>
        <b/>
        <color rgb="FF1F4E79"/>
        <name val="Arial"/>
        <charset val="1"/>
      </font>
      <fill>
        <patternFill>
          <bgColor rgb="FFDDEBF7"/>
        </patternFill>
      </fill>
    </dxf>
    <dxf>
      <font>
        <b/>
        <color rgb="FF843C0C"/>
        <name val="Arial"/>
        <charset val="1"/>
      </font>
      <fill>
        <patternFill>
          <bgColor rgb="FFFCE4D6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1F4E79"/>
        <name val="Arial"/>
        <charset val="1"/>
      </font>
      <fill>
        <patternFill>
          <bgColor rgb="FFDDEBF7"/>
        </patternFill>
      </fill>
    </dxf>
    <dxf>
      <font>
        <b/>
        <color rgb="FF843C0C"/>
        <name val="Arial"/>
        <charset val="1"/>
      </font>
      <fill>
        <patternFill>
          <bgColor rgb="FFFCE4D6"/>
        </patternFill>
      </fill>
    </dxf>
    <dxf>
      <font>
        <b/>
        <color rgb="FF375623"/>
        <name val="Arial"/>
        <charset val="1"/>
      </font>
      <fill>
        <patternFill>
          <bgColor rgb="FFE2EFDA"/>
        </patternFill>
      </fill>
    </dxf>
    <dxf>
      <font>
        <b/>
        <sz val="11"/>
        <color rgb="FFFF8A80"/>
      </font>
    </dxf>
    <dxf>
      <font>
        <b/>
        <sz val="11"/>
        <color rgb="FF66BB6A"/>
      </font>
    </dxf>
    <dxf>
      <font>
        <b/>
        <sz val="10"/>
        <color rgb="FFC62828"/>
      </font>
    </dxf>
    <dxf>
      <font>
        <b/>
        <sz val="10"/>
        <color rgb="FF008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9C0006"/>
      <rgbColor rgb="FF008000"/>
      <rgbColor rgb="FF000080"/>
      <rgbColor rgb="FF808000"/>
      <rgbColor rgb="FF800080"/>
      <rgbColor rgb="FF009688"/>
      <rgbColor rgb="FFBFBFBF"/>
      <rgbColor rgb="FF878787"/>
      <rgbColor rgb="FFE3F2FD"/>
      <rgbColor rgb="FFC62828"/>
      <rgbColor rgb="FFFFF2CC"/>
      <rgbColor rgb="FFE0F7FA"/>
      <rgbColor rgb="FF660066"/>
      <rgbColor rgb="FFFF8A80"/>
      <rgbColor rgb="FF1976D2"/>
      <rgbColor rgb="FFD9D9D9"/>
      <rgbColor rgb="FF000080"/>
      <rgbColor rgb="FFFF00FF"/>
      <rgbColor rgb="FFF8F9FA"/>
      <rgbColor rgb="FF00FFFF"/>
      <rgbColor rgb="FF800080"/>
      <rgbColor rgb="FF800000"/>
      <rgbColor rgb="FF2E7D32"/>
      <rgbColor rgb="FF0000FF"/>
      <rgbColor rgb="FF00BCD4"/>
      <rgbColor rgb="FFE0F2F1"/>
      <rgbColor rgb="FFE2EFDA"/>
      <rgbColor rgb="FFFCE4D6"/>
      <rgbColor rgb="FFB3E5FC"/>
      <rgbColor rgb="FFDDEBF7"/>
      <rgbColor rgb="FFC8E6C9"/>
      <rgbColor rgb="FFFFC7CE"/>
      <rgbColor rgb="FF2E75B6"/>
      <rgbColor rgb="FF03A9F4"/>
      <rgbColor rgb="FF66BB6A"/>
      <rgbColor rgb="FFF0F8FF"/>
      <rgbColor rgb="FFFF9900"/>
      <rgbColor rgb="FFED7D31"/>
      <rgbColor rgb="FF595959"/>
      <rgbColor rgb="FF70AD47"/>
      <rgbColor rgb="FF0D47A1"/>
      <rgbColor rgb="FF43A047"/>
      <rgbColor rgb="FF003300"/>
      <rgbColor rgb="FF375623"/>
      <rgbColor rgb="FF843C0C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th-TH" sz="1800" b="1" strike="noStrike" spc="-1">
                <a:solidFill>
                  <a:srgbClr val="000000"/>
                </a:solidFill>
                <a:latin typeface="Calibri"/>
              </a:rPr>
              <a:t>เป้าหมาย (น้ำเงิน)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vs </a:t>
            </a:r>
            <a:r>
              <a:rPr lang="th-TH" sz="1800" b="1" strike="noStrike" spc="-1">
                <a:solidFill>
                  <a:srgbClr val="000000"/>
                </a:solidFill>
                <a:latin typeface="Calibri"/>
              </a:rPr>
              <a:t>ปริมาณจริง (ส้ม) —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kWh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'Energy Data'!$B$1</c:f>
              <c:strCache>
                <c:ptCount val="1"/>
                <c:pt idx="0">
                  <c:v>เป้าหมาย (kWh)</c:v>
                </c:pt>
              </c:strCache>
            </c:strRef>
          </c:tx>
          <c:spPr>
            <a:solidFill>
              <a:srgbClr val="1F4E7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h-TH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'Energy Data'!$A$2:$A$13</c:f>
              <c:strCache>
                <c:ptCount val="12"/>
                <c:pt idx="0">
                  <c:v>ตุลาคม</c:v>
                </c:pt>
                <c:pt idx="1">
                  <c:v>พฤศจิกายน</c:v>
                </c:pt>
                <c:pt idx="2">
                  <c:v>ธันวาคม</c:v>
                </c:pt>
                <c:pt idx="3">
                  <c:v>มกราคม</c:v>
                </c:pt>
                <c:pt idx="4">
                  <c:v>กุมภาพันธ์</c:v>
                </c:pt>
                <c:pt idx="5">
                  <c:v>มีนาคม</c:v>
                </c:pt>
                <c:pt idx="6">
                  <c:v>เมษายน</c:v>
                </c:pt>
                <c:pt idx="7">
                  <c:v>พฤษภาคม</c:v>
                </c:pt>
                <c:pt idx="8">
                  <c:v>มิถุนายน</c:v>
                </c:pt>
                <c:pt idx="9">
                  <c:v>กรกฎาคม</c:v>
                </c:pt>
                <c:pt idx="10">
                  <c:v>สิงหาคม</c:v>
                </c:pt>
                <c:pt idx="11">
                  <c:v>กันยายน</c:v>
                </c:pt>
              </c:strCache>
            </c:strRef>
          </c:cat>
          <c:val>
            <c:numRef>
              <c:f>'Energy Data'!$B$2:$B$13</c:f>
              <c:numCache>
                <c:formatCode>General</c:formatCode>
                <c:ptCount val="12"/>
                <c:pt idx="0">
                  <c:v>64090</c:v>
                </c:pt>
                <c:pt idx="1">
                  <c:v>48020</c:v>
                </c:pt>
                <c:pt idx="2">
                  <c:v>38800</c:v>
                </c:pt>
                <c:pt idx="3">
                  <c:v>31660</c:v>
                </c:pt>
                <c:pt idx="4">
                  <c:v>46900</c:v>
                </c:pt>
                <c:pt idx="5">
                  <c:v>55500</c:v>
                </c:pt>
                <c:pt idx="6">
                  <c:v>46500</c:v>
                </c:pt>
                <c:pt idx="7">
                  <c:v>45800</c:v>
                </c:pt>
                <c:pt idx="8">
                  <c:v>58000</c:v>
                </c:pt>
                <c:pt idx="9">
                  <c:v>67760</c:v>
                </c:pt>
                <c:pt idx="10">
                  <c:v>63900</c:v>
                </c:pt>
                <c:pt idx="11">
                  <c:v>67870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7-4458-A147-389D1568C0EC}"/>
            </c:ext>
          </c:extLst>
        </c:ser>
        <c:ser>
          <c:idx val="1"/>
          <c:order val="1"/>
          <c:tx>
            <c:strRef>
              <c:f>'Energy Data'!$C$1</c:f>
              <c:strCache>
                <c:ptCount val="1"/>
                <c:pt idx="0">
                  <c:v>ปริมาณจริง (kWh)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h-TH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'Energy Data'!$A$2:$A$13</c:f>
              <c:strCache>
                <c:ptCount val="12"/>
                <c:pt idx="0">
                  <c:v>ตุลาคม</c:v>
                </c:pt>
                <c:pt idx="1">
                  <c:v>พฤศจิกายน</c:v>
                </c:pt>
                <c:pt idx="2">
                  <c:v>ธันวาคม</c:v>
                </c:pt>
                <c:pt idx="3">
                  <c:v>มกราคม</c:v>
                </c:pt>
                <c:pt idx="4">
                  <c:v>กุมภาพันธ์</c:v>
                </c:pt>
                <c:pt idx="5">
                  <c:v>มีนาคม</c:v>
                </c:pt>
                <c:pt idx="6">
                  <c:v>เมษายน</c:v>
                </c:pt>
                <c:pt idx="7">
                  <c:v>พฤษภาคม</c:v>
                </c:pt>
                <c:pt idx="8">
                  <c:v>มิถุนายน</c:v>
                </c:pt>
                <c:pt idx="9">
                  <c:v>กรกฎาคม</c:v>
                </c:pt>
                <c:pt idx="10">
                  <c:v>สิงหาคม</c:v>
                </c:pt>
                <c:pt idx="11">
                  <c:v>กันยายน</c:v>
                </c:pt>
              </c:strCache>
            </c:strRef>
          </c:cat>
          <c:val>
            <c:numRef>
              <c:f>'Energy Data'!$C$2:$C$13</c:f>
              <c:numCache>
                <c:formatCode>General</c:formatCode>
                <c:ptCount val="12"/>
                <c:pt idx="0">
                  <c:v>64651</c:v>
                </c:pt>
                <c:pt idx="1">
                  <c:v>46920</c:v>
                </c:pt>
                <c:pt idx="2">
                  <c:v>47464</c:v>
                </c:pt>
                <c:pt idx="3">
                  <c:v>33709</c:v>
                </c:pt>
                <c:pt idx="4">
                  <c:v>62174</c:v>
                </c:pt>
                <c:pt idx="5">
                  <c:v>59072</c:v>
                </c:pt>
                <c:pt idx="6">
                  <c:v>56000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B7-4458-A147-389D1568C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011136"/>
        <c:axId val="97723839"/>
      </c:barChart>
      <c:catAx>
        <c:axId val="870111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th-TH" sz="1000" b="1" strike="noStrike" spc="-1">
                    <a:solidFill>
                      <a:srgbClr val="000000"/>
                    </a:solidFill>
                    <a:latin typeface="Calibri"/>
                  </a:rPr>
                  <a:t>เดือน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97723839"/>
        <c:crosses val="autoZero"/>
        <c:auto val="1"/>
        <c:lblAlgn val="ctr"/>
        <c:lblOffset val="100"/>
        <c:noMultiLvlLbl val="0"/>
      </c:catAx>
      <c:valAx>
        <c:axId val="977238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870111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h-T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Control Chart: ปริมาณจริง เทียบ UCL / CL / LCL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'Energy Data'!$C$1</c:f>
              <c:strCache>
                <c:ptCount val="1"/>
                <c:pt idx="0">
                  <c:v>ปริมาณจริง (kWh)</c:v>
                </c:pt>
              </c:strCache>
            </c:strRef>
          </c:tx>
          <c:spPr>
            <a:ln w="29880">
              <a:solidFill>
                <a:srgbClr val="2E75B6"/>
              </a:solidFill>
              <a:round/>
            </a:ln>
          </c:spPr>
          <c:marker>
            <c:symbol val="circle"/>
            <c:size val="8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h-TH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'Energy Data'!$A$2:$A$13</c:f>
              <c:strCache>
                <c:ptCount val="12"/>
                <c:pt idx="0">
                  <c:v>ตุลาคม</c:v>
                </c:pt>
                <c:pt idx="1">
                  <c:v>พฤศจิกายน</c:v>
                </c:pt>
                <c:pt idx="2">
                  <c:v>ธันวาคม</c:v>
                </c:pt>
                <c:pt idx="3">
                  <c:v>มกราคม</c:v>
                </c:pt>
                <c:pt idx="4">
                  <c:v>กุมภาพันธ์</c:v>
                </c:pt>
                <c:pt idx="5">
                  <c:v>มีนาคม</c:v>
                </c:pt>
                <c:pt idx="6">
                  <c:v>เมษายน</c:v>
                </c:pt>
                <c:pt idx="7">
                  <c:v>พฤษภาคม</c:v>
                </c:pt>
                <c:pt idx="8">
                  <c:v>มิถุนายน</c:v>
                </c:pt>
                <c:pt idx="9">
                  <c:v>กรกฎาคม</c:v>
                </c:pt>
                <c:pt idx="10">
                  <c:v>สิงหาคม</c:v>
                </c:pt>
                <c:pt idx="11">
                  <c:v>กันยายน</c:v>
                </c:pt>
              </c:strCache>
            </c:strRef>
          </c:cat>
          <c:val>
            <c:numRef>
              <c:f>'Energy Data'!$C$2:$C$13</c:f>
              <c:numCache>
                <c:formatCode>General</c:formatCode>
                <c:ptCount val="12"/>
                <c:pt idx="0">
                  <c:v>64651</c:v>
                </c:pt>
                <c:pt idx="1">
                  <c:v>46920</c:v>
                </c:pt>
                <c:pt idx="2">
                  <c:v>47464</c:v>
                </c:pt>
                <c:pt idx="3">
                  <c:v>33709</c:v>
                </c:pt>
                <c:pt idx="4">
                  <c:v>62174</c:v>
                </c:pt>
                <c:pt idx="5">
                  <c:v>59072</c:v>
                </c:pt>
                <c:pt idx="6">
                  <c:v>56000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A4-4D6F-A17D-650E34BBE8D9}"/>
            </c:ext>
          </c:extLst>
        </c:ser>
        <c:ser>
          <c:idx val="1"/>
          <c:order val="1"/>
          <c:tx>
            <c:strRef>
              <c:f>'Energy Data'!$G$1</c:f>
              <c:strCache>
                <c:ptCount val="1"/>
                <c:pt idx="0">
                  <c:v>Upper Control Limit - UCL</c:v>
                </c:pt>
              </c:strCache>
            </c:strRef>
          </c:tx>
          <c:spPr>
            <a:ln w="201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h-TH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'Energy Data'!$A$2:$A$13</c:f>
              <c:strCache>
                <c:ptCount val="12"/>
                <c:pt idx="0">
                  <c:v>ตุลาคม</c:v>
                </c:pt>
                <c:pt idx="1">
                  <c:v>พฤศจิกายน</c:v>
                </c:pt>
                <c:pt idx="2">
                  <c:v>ธันวาคม</c:v>
                </c:pt>
                <c:pt idx="3">
                  <c:v>มกราคม</c:v>
                </c:pt>
                <c:pt idx="4">
                  <c:v>กุมภาพันธ์</c:v>
                </c:pt>
                <c:pt idx="5">
                  <c:v>มีนาคม</c:v>
                </c:pt>
                <c:pt idx="6">
                  <c:v>เมษายน</c:v>
                </c:pt>
                <c:pt idx="7">
                  <c:v>พฤษภาคม</c:v>
                </c:pt>
                <c:pt idx="8">
                  <c:v>มิถุนายน</c:v>
                </c:pt>
                <c:pt idx="9">
                  <c:v>กรกฎาคม</c:v>
                </c:pt>
                <c:pt idx="10">
                  <c:v>สิงหาคม</c:v>
                </c:pt>
                <c:pt idx="11">
                  <c:v>กันยายน</c:v>
                </c:pt>
              </c:strCache>
            </c:strRef>
          </c:cat>
          <c:val>
            <c:numRef>
              <c:f>'Energy Data'!$G$2:$G$13</c:f>
              <c:numCache>
                <c:formatCode>General</c:formatCode>
                <c:ptCount val="12"/>
                <c:pt idx="0">
                  <c:v>67870</c:v>
                </c:pt>
                <c:pt idx="1">
                  <c:v>67870</c:v>
                </c:pt>
                <c:pt idx="2">
                  <c:v>67870</c:v>
                </c:pt>
                <c:pt idx="3">
                  <c:v>67870</c:v>
                </c:pt>
                <c:pt idx="4">
                  <c:v>67870</c:v>
                </c:pt>
                <c:pt idx="5">
                  <c:v>67870</c:v>
                </c:pt>
                <c:pt idx="6">
                  <c:v>67870</c:v>
                </c:pt>
                <c:pt idx="7">
                  <c:v>67870</c:v>
                </c:pt>
                <c:pt idx="8">
                  <c:v>67870</c:v>
                </c:pt>
                <c:pt idx="9">
                  <c:v>67870</c:v>
                </c:pt>
                <c:pt idx="10">
                  <c:v>67870</c:v>
                </c:pt>
                <c:pt idx="11">
                  <c:v>67870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FA4-4D6F-A17D-650E34BBE8D9}"/>
            </c:ext>
          </c:extLst>
        </c:ser>
        <c:ser>
          <c:idx val="2"/>
          <c:order val="2"/>
          <c:tx>
            <c:strRef>
              <c:f>'Energy Data'!$H$1</c:f>
              <c:strCache>
                <c:ptCount val="1"/>
                <c:pt idx="0">
                  <c:v>Center Line - CL</c:v>
                </c:pt>
              </c:strCache>
            </c:strRef>
          </c:tx>
          <c:spPr>
            <a:ln w="20160">
              <a:solidFill>
                <a:srgbClr val="70AD47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h-TH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'Energy Data'!$A$2:$A$13</c:f>
              <c:strCache>
                <c:ptCount val="12"/>
                <c:pt idx="0">
                  <c:v>ตุลาคม</c:v>
                </c:pt>
                <c:pt idx="1">
                  <c:v>พฤศจิกายน</c:v>
                </c:pt>
                <c:pt idx="2">
                  <c:v>ธันวาคม</c:v>
                </c:pt>
                <c:pt idx="3">
                  <c:v>มกราคม</c:v>
                </c:pt>
                <c:pt idx="4">
                  <c:v>กุมภาพันธ์</c:v>
                </c:pt>
                <c:pt idx="5">
                  <c:v>มีนาคม</c:v>
                </c:pt>
                <c:pt idx="6">
                  <c:v>เมษายน</c:v>
                </c:pt>
                <c:pt idx="7">
                  <c:v>พฤษภาคม</c:v>
                </c:pt>
                <c:pt idx="8">
                  <c:v>มิถุนายน</c:v>
                </c:pt>
                <c:pt idx="9">
                  <c:v>กรกฎาคม</c:v>
                </c:pt>
                <c:pt idx="10">
                  <c:v>สิงหาคม</c:v>
                </c:pt>
                <c:pt idx="11">
                  <c:v>กันยายน</c:v>
                </c:pt>
              </c:strCache>
            </c:strRef>
          </c:cat>
          <c:val>
            <c:numRef>
              <c:f>'Energy Data'!$H$2:$H$13</c:f>
              <c:numCache>
                <c:formatCode>General</c:formatCode>
                <c:ptCount val="12"/>
                <c:pt idx="0">
                  <c:v>52900</c:v>
                </c:pt>
                <c:pt idx="1">
                  <c:v>52900</c:v>
                </c:pt>
                <c:pt idx="2">
                  <c:v>52900</c:v>
                </c:pt>
                <c:pt idx="3">
                  <c:v>52900</c:v>
                </c:pt>
                <c:pt idx="4">
                  <c:v>52900</c:v>
                </c:pt>
                <c:pt idx="5">
                  <c:v>52900</c:v>
                </c:pt>
                <c:pt idx="6">
                  <c:v>52900</c:v>
                </c:pt>
                <c:pt idx="7">
                  <c:v>52900</c:v>
                </c:pt>
                <c:pt idx="8">
                  <c:v>52900</c:v>
                </c:pt>
                <c:pt idx="9">
                  <c:v>52900</c:v>
                </c:pt>
                <c:pt idx="10">
                  <c:v>52900</c:v>
                </c:pt>
                <c:pt idx="11">
                  <c:v>52900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FA4-4D6F-A17D-650E34BBE8D9}"/>
            </c:ext>
          </c:extLst>
        </c:ser>
        <c:ser>
          <c:idx val="3"/>
          <c:order val="3"/>
          <c:tx>
            <c:strRef>
              <c:f>'Energy Data'!$I$1</c:f>
              <c:strCache>
                <c:ptCount val="1"/>
                <c:pt idx="0">
                  <c:v>Lower Control Limit - LCL</c:v>
                </c:pt>
              </c:strCache>
            </c:strRef>
          </c:tx>
          <c:spPr>
            <a:ln w="2016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h-TH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'Energy Data'!$A$2:$A$13</c:f>
              <c:strCache>
                <c:ptCount val="12"/>
                <c:pt idx="0">
                  <c:v>ตุลาคม</c:v>
                </c:pt>
                <c:pt idx="1">
                  <c:v>พฤศจิกายน</c:v>
                </c:pt>
                <c:pt idx="2">
                  <c:v>ธันวาคม</c:v>
                </c:pt>
                <c:pt idx="3">
                  <c:v>มกราคม</c:v>
                </c:pt>
                <c:pt idx="4">
                  <c:v>กุมภาพันธ์</c:v>
                </c:pt>
                <c:pt idx="5">
                  <c:v>มีนาคม</c:v>
                </c:pt>
                <c:pt idx="6">
                  <c:v>เมษายน</c:v>
                </c:pt>
                <c:pt idx="7">
                  <c:v>พฤษภาคม</c:v>
                </c:pt>
                <c:pt idx="8">
                  <c:v>มิถุนายน</c:v>
                </c:pt>
                <c:pt idx="9">
                  <c:v>กรกฎาคม</c:v>
                </c:pt>
                <c:pt idx="10">
                  <c:v>สิงหาคม</c:v>
                </c:pt>
                <c:pt idx="11">
                  <c:v>กันยายน</c:v>
                </c:pt>
              </c:strCache>
            </c:strRef>
          </c:cat>
          <c:val>
            <c:numRef>
              <c:f>'Energy Data'!$I$2:$I$13</c:f>
              <c:numCache>
                <c:formatCode>General</c:formatCode>
                <c:ptCount val="12"/>
                <c:pt idx="0">
                  <c:v>31660</c:v>
                </c:pt>
                <c:pt idx="1">
                  <c:v>31660</c:v>
                </c:pt>
                <c:pt idx="2">
                  <c:v>31660</c:v>
                </c:pt>
                <c:pt idx="3">
                  <c:v>31660</c:v>
                </c:pt>
                <c:pt idx="4">
                  <c:v>31660</c:v>
                </c:pt>
                <c:pt idx="5">
                  <c:v>31660</c:v>
                </c:pt>
                <c:pt idx="6">
                  <c:v>31660</c:v>
                </c:pt>
                <c:pt idx="7">
                  <c:v>31660</c:v>
                </c:pt>
                <c:pt idx="8">
                  <c:v>31660</c:v>
                </c:pt>
                <c:pt idx="9">
                  <c:v>31660</c:v>
                </c:pt>
                <c:pt idx="10">
                  <c:v>31660</c:v>
                </c:pt>
                <c:pt idx="11">
                  <c:v>31660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FA4-4D6F-A17D-650E34BBE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0837390"/>
        <c:axId val="4408297"/>
      </c:lineChart>
      <c:catAx>
        <c:axId val="80837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เดือน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4408297"/>
        <c:crosses val="autoZero"/>
        <c:auto val="1"/>
        <c:lblAlgn val="ctr"/>
        <c:lblOffset val="100"/>
        <c:noMultiLvlLbl val="0"/>
      </c:catAx>
      <c:valAx>
        <c:axId val="4408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808373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th-TH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11</xdr:col>
      <xdr:colOff>895320</xdr:colOff>
      <xdr:row>36</xdr:row>
      <xdr:rowOff>143640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11</xdr:col>
      <xdr:colOff>895320</xdr:colOff>
      <xdr:row>60</xdr:row>
      <xdr:rowOff>143640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3"/>
  <sheetViews>
    <sheetView showGridLines="0" topLeftCell="A3" zoomScaleNormal="100" workbookViewId="0"/>
  </sheetViews>
  <sheetFormatPr defaultColWidth="8.7109375" defaultRowHeight="15"/>
  <cols>
    <col min="1" max="1" width="2" customWidth="1"/>
    <col min="2" max="4" width="14" customWidth="1"/>
    <col min="5" max="5" width="12" customWidth="1"/>
    <col min="6" max="8" width="14" customWidth="1"/>
    <col min="9" max="9" width="4" customWidth="1"/>
    <col min="10" max="12" width="14" customWidth="1"/>
    <col min="13" max="13" width="2" customWidth="1"/>
  </cols>
  <sheetData>
    <row r="2" spans="2:12" ht="30" customHeight="1"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 ht="30" customHeight="1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2:12" ht="24" customHeight="1">
      <c r="B4" s="55" t="s">
        <v>1</v>
      </c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2:12" ht="7.5" customHeight="1"/>
    <row r="6" spans="2:12" ht="25.5" customHeight="1">
      <c r="B6" s="56" t="s">
        <v>2</v>
      </c>
      <c r="C6" s="56"/>
      <c r="D6" s="56"/>
      <c r="F6" s="57" t="s">
        <v>3</v>
      </c>
      <c r="G6" s="57"/>
      <c r="H6" s="57"/>
      <c r="J6" s="58" t="s">
        <v>4</v>
      </c>
      <c r="K6" s="58"/>
      <c r="L6" s="58"/>
    </row>
    <row r="7" spans="2:12" ht="21.75" customHeight="1">
      <c r="B7" s="48">
        <f>'Energy Data'!B14</f>
        <v>634800</v>
      </c>
      <c r="C7" s="48"/>
      <c r="D7" s="48"/>
      <c r="F7" s="49">
        <f>'Energy Data'!C14</f>
        <v>369990</v>
      </c>
      <c r="G7" s="49"/>
      <c r="H7" s="49"/>
      <c r="J7" s="50">
        <f>SUMPRODUCT(('Energy Data'!C2:C13&lt;&gt;"")*('Energy Data'!C2:C13-'Energy Data'!B2:B13))</f>
        <v>38520</v>
      </c>
      <c r="K7" s="50"/>
      <c r="L7" s="50"/>
    </row>
    <row r="8" spans="2:12" ht="21.75" customHeight="1">
      <c r="B8" s="48"/>
      <c r="C8" s="48"/>
      <c r="D8" s="48"/>
      <c r="F8" s="49"/>
      <c r="G8" s="49"/>
      <c r="H8" s="49"/>
      <c r="J8" s="50"/>
      <c r="K8" s="50"/>
      <c r="L8" s="50"/>
    </row>
    <row r="9" spans="2:12" ht="21.75" customHeight="1">
      <c r="B9" s="48"/>
      <c r="C9" s="48"/>
      <c r="D9" s="48"/>
      <c r="F9" s="49"/>
      <c r="G9" s="49"/>
      <c r="H9" s="49"/>
      <c r="J9" s="50"/>
      <c r="K9" s="50"/>
      <c r="L9" s="50"/>
    </row>
    <row r="10" spans="2:12" ht="7.5" customHeight="1"/>
    <row r="11" spans="2:12" ht="25.5" customHeight="1">
      <c r="B11" s="51" t="s">
        <v>5</v>
      </c>
      <c r="C11" s="51"/>
      <c r="D11" s="51"/>
      <c r="F11" s="52" t="s">
        <v>6</v>
      </c>
      <c r="G11" s="52"/>
      <c r="H11" s="52"/>
      <c r="J11" s="53" t="s">
        <v>7</v>
      </c>
      <c r="K11" s="53"/>
      <c r="L11" s="53"/>
    </row>
    <row r="12" spans="2:12" ht="21.75" customHeight="1">
      <c r="B12" s="43" t="str">
        <f>COUNTIF('Energy Data'!F2:F13,"✓ บรรลุเป้า")&amp;" / "&amp;COUNT('Energy Data'!C2:C13)&amp;" เดือน"</f>
        <v>1 / 7 เดือน</v>
      </c>
      <c r="C12" s="43"/>
      <c r="D12" s="43"/>
      <c r="F12" s="44" t="str">
        <f>IFERROR(INDEX('Energy Data'!A2:A13,MATCH(MAX('Energy Data'!C2:C13),'Energy Data'!C2:C13,0)),"-")</f>
        <v>ตุลาคม</v>
      </c>
      <c r="G12" s="44"/>
      <c r="H12" s="44"/>
      <c r="J12" s="45" t="str">
        <f>IFERROR(INDEX('Energy Data'!A2:A13,COUNT('Energy Data'!C2:C13)),"-")</f>
        <v>เมษายน</v>
      </c>
      <c r="K12" s="45"/>
      <c r="L12" s="45"/>
    </row>
    <row r="13" spans="2:12" ht="21.75" customHeight="1">
      <c r="B13" s="43"/>
      <c r="C13" s="43"/>
      <c r="D13" s="43"/>
      <c r="F13" s="44"/>
      <c r="G13" s="44"/>
      <c r="H13" s="44"/>
      <c r="J13" s="45"/>
      <c r="K13" s="45"/>
      <c r="L13" s="45"/>
    </row>
    <row r="14" spans="2:12" ht="21.75" customHeight="1">
      <c r="B14" s="43"/>
      <c r="C14" s="43"/>
      <c r="D14" s="43"/>
      <c r="F14" s="44"/>
      <c r="G14" s="44"/>
      <c r="H14" s="44"/>
      <c r="J14" s="45"/>
      <c r="K14" s="45"/>
      <c r="L14" s="45"/>
    </row>
    <row r="15" spans="2:12" ht="12" customHeight="1"/>
    <row r="16" spans="2:12" ht="27.75" customHeight="1">
      <c r="B16" s="46" t="s">
        <v>8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spans="2:12" ht="15" customHeight="1"/>
    <row r="34" spans="2:12" ht="15" customHeight="1"/>
    <row r="35" spans="2:12" ht="15" customHeight="1"/>
    <row r="36" spans="2:12" ht="15" customHeight="1"/>
    <row r="37" spans="2:12" ht="15" customHeight="1"/>
    <row r="38" spans="2:12" ht="15" customHeight="1"/>
    <row r="39" spans="2:12" ht="15" customHeight="1"/>
    <row r="40" spans="2:12" ht="27.75" customHeight="1">
      <c r="B40" s="47" t="s">
        <v>9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</row>
    <row r="41" spans="2:12" ht="15" customHeight="1"/>
    <row r="42" spans="2:12" ht="15" customHeight="1"/>
    <row r="43" spans="2:12" ht="15" customHeight="1"/>
    <row r="44" spans="2:12" ht="15" customHeight="1"/>
    <row r="45" spans="2:12" ht="15" customHeight="1"/>
    <row r="46" spans="2:12" ht="15" customHeight="1"/>
    <row r="47" spans="2:12" ht="15" customHeight="1"/>
    <row r="48" spans="2:12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27.75" customHeight="1"/>
    <row r="65" spans="2:12" ht="15" customHeight="1"/>
    <row r="66" spans="2:12" ht="15" customHeight="1">
      <c r="B66" s="1" t="s">
        <v>10</v>
      </c>
    </row>
    <row r="67" spans="2:12" ht="24.75" customHeight="1">
      <c r="B67" s="2" t="s">
        <v>11</v>
      </c>
      <c r="C67" s="2" t="s">
        <v>12</v>
      </c>
      <c r="D67" s="2" t="s">
        <v>13</v>
      </c>
      <c r="E67" s="2" t="s">
        <v>14</v>
      </c>
      <c r="F67" s="2" t="s">
        <v>15</v>
      </c>
      <c r="G67" s="41" t="s">
        <v>16</v>
      </c>
      <c r="H67" s="41"/>
      <c r="I67" s="41"/>
      <c r="J67" s="42" t="s">
        <v>17</v>
      </c>
      <c r="K67" s="42"/>
      <c r="L67" s="42"/>
    </row>
    <row r="68" spans="2:12" ht="30" customHeight="1">
      <c r="B68" s="3" t="str">
        <f>'Energy Data'!A2</f>
        <v>ตุลาคม</v>
      </c>
      <c r="C68" s="4">
        <f>'Energy Data'!B2</f>
        <v>64090</v>
      </c>
      <c r="D68" s="4">
        <f>IF('Energy Data'!C2="","-",'Energy Data'!C2)</f>
        <v>64651</v>
      </c>
      <c r="E68" s="4">
        <f>IF('Energy Data'!D2="","-",'Energy Data'!D2)</f>
        <v>561</v>
      </c>
      <c r="F68" s="5">
        <f>IF('Energy Data'!E2="","-",'Energy Data'!E2)</f>
        <v>8.7533156498673746E-3</v>
      </c>
      <c r="G68" s="39" t="str">
        <f>'Energy Data'!F2&amp;IF(AND('Energy Data'!C2&lt;&gt;"",'Energy Data'!C2&gt;'Energy Data'!G2),"  ⚠ เกิน UCL",IF(AND('Energy Data'!C2&lt;&gt;"",'Energy Data'!C2&lt;'Energy Data'!I2),"  ↓ ต่ำกว่า LCL",""))</f>
        <v>✗ เกินเป้า</v>
      </c>
      <c r="H68" s="39"/>
      <c r="I68" s="39"/>
      <c r="J68" s="40" t="str">
        <f>IF('Energy Data'!J2="","",'Energy Data'!J2)</f>
        <v>ตรวจสอบระบบปรับอากาศ ปรับอุณหภูมิ 25°C</v>
      </c>
      <c r="K68" s="40"/>
      <c r="L68" s="40"/>
    </row>
    <row r="69" spans="2:12" ht="30" customHeight="1">
      <c r="B69" s="6" t="str">
        <f>'Energy Data'!A3</f>
        <v>พฤศจิกายน</v>
      </c>
      <c r="C69" s="7">
        <f>'Energy Data'!B3</f>
        <v>48020</v>
      </c>
      <c r="D69" s="7">
        <f>IF('Energy Data'!C3="","-",'Energy Data'!C3)</f>
        <v>46920</v>
      </c>
      <c r="E69" s="7">
        <f>IF('Energy Data'!D3="","-",'Energy Data'!D3)</f>
        <v>-1100</v>
      </c>
      <c r="F69" s="8">
        <f>IF('Energy Data'!E3="","-",'Energy Data'!E3)</f>
        <v>-2.2907122032486463E-2</v>
      </c>
      <c r="G69" s="35" t="str">
        <f>'Energy Data'!F3&amp;IF(AND('Energy Data'!C3&lt;&gt;"",'Energy Data'!C3&gt;'Energy Data'!G3),"  ⚠ เกิน UCL",IF(AND('Energy Data'!C3&lt;&gt;"",'Energy Data'!C3&lt;'Energy Data'!I3),"  ↓ ต่ำกว่า LCL",""))</f>
        <v>✓ บรรลุเป้า</v>
      </c>
      <c r="H69" s="35"/>
      <c r="I69" s="35"/>
      <c r="J69" s="36" t="str">
        <f>IF('Energy Data'!J3="","",'Energy Data'!J3)</f>
        <v>รณรงค์เรื่องการประหยัดพลังงาน</v>
      </c>
      <c r="K69" s="36"/>
      <c r="L69" s="36"/>
    </row>
    <row r="70" spans="2:12" ht="30" customHeight="1">
      <c r="B70" s="3" t="str">
        <f>'Energy Data'!A4</f>
        <v>ธันวาคม</v>
      </c>
      <c r="C70" s="4">
        <f>'Energy Data'!B4</f>
        <v>38800</v>
      </c>
      <c r="D70" s="4">
        <f>IF('Energy Data'!C4="","-",'Energy Data'!C4)</f>
        <v>47464</v>
      </c>
      <c r="E70" s="4">
        <f>IF('Energy Data'!D4="","-",'Energy Data'!D4)</f>
        <v>8664</v>
      </c>
      <c r="F70" s="5">
        <f>IF('Energy Data'!E4="","-",'Energy Data'!E4)</f>
        <v>0.22329896907216495</v>
      </c>
      <c r="G70" s="39" t="str">
        <f>'Energy Data'!F4&amp;IF(AND('Energy Data'!C4&lt;&gt;"",'Energy Data'!C4&gt;'Energy Data'!G4),"  ⚠ เกิน UCL",IF(AND('Energy Data'!C4&lt;&gt;"",'Energy Data'!C4&lt;'Energy Data'!I4),"  ↓ ต่ำกว่า LCL",""))</f>
        <v>✗ เกินเป้า</v>
      </c>
      <c r="H70" s="39"/>
      <c r="I70" s="39"/>
      <c r="J70" s="40" t="str">
        <f>IF('Energy Data'!J4="","",'Energy Data'!J4)</f>
        <v>เปลี่ยนหลอดไฟ LED ในพื้นที่สำนักงาน</v>
      </c>
      <c r="K70" s="40"/>
      <c r="L70" s="40"/>
    </row>
    <row r="71" spans="2:12" ht="30" customHeight="1">
      <c r="B71" s="6" t="str">
        <f>'Energy Data'!A5</f>
        <v>มกราคม</v>
      </c>
      <c r="C71" s="7">
        <f>'Energy Data'!B5</f>
        <v>31660</v>
      </c>
      <c r="D71" s="7">
        <f>IF('Energy Data'!C5="","-",'Energy Data'!C5)</f>
        <v>33709</v>
      </c>
      <c r="E71" s="7">
        <f>IF('Energy Data'!D5="","-",'Energy Data'!D5)</f>
        <v>2049</v>
      </c>
      <c r="F71" s="8">
        <f>IF('Energy Data'!E5="","-",'Energy Data'!E5)</f>
        <v>6.4718888186986734E-2</v>
      </c>
      <c r="G71" s="35" t="str">
        <f>'Energy Data'!F5&amp;IF(AND('Energy Data'!C5&lt;&gt;"",'Energy Data'!C5&gt;'Energy Data'!G5),"  ⚠ เกิน UCL",IF(AND('Energy Data'!C5&lt;&gt;"",'Energy Data'!C5&lt;'Energy Data'!I5),"  ↓ ต่ำกว่า LCL",""))</f>
        <v>✗ เกินเป้า</v>
      </c>
      <c r="H71" s="35"/>
      <c r="I71" s="35"/>
      <c r="J71" s="36" t="str">
        <f>IF('Energy Data'!J5="","",'Energy Data'!J5)</f>
        <v>ติดตั้ง Sensor ตรวจจับการเคลื่อนไหว</v>
      </c>
      <c r="K71" s="36"/>
      <c r="L71" s="36"/>
    </row>
    <row r="72" spans="2:12" ht="30" customHeight="1">
      <c r="B72" s="3" t="str">
        <f>'Energy Data'!A6</f>
        <v>กุมภาพันธ์</v>
      </c>
      <c r="C72" s="4">
        <f>'Energy Data'!B6</f>
        <v>46900</v>
      </c>
      <c r="D72" s="4">
        <f>IF('Energy Data'!C6="","-",'Energy Data'!C6)</f>
        <v>62174</v>
      </c>
      <c r="E72" s="4">
        <f>IF('Energy Data'!D6="","-",'Energy Data'!D6)</f>
        <v>15274</v>
      </c>
      <c r="F72" s="5">
        <f>IF('Energy Data'!E6="","-",'Energy Data'!E6)</f>
        <v>0.3256716417910448</v>
      </c>
      <c r="G72" s="39" t="str">
        <f>'Energy Data'!F6&amp;IF(AND('Energy Data'!C6&lt;&gt;"",'Energy Data'!C6&gt;'Energy Data'!G6),"  ⚠ เกิน UCL",IF(AND('Energy Data'!C6&lt;&gt;"",'Energy Data'!C6&lt;'Energy Data'!I6),"  ↓ ต่ำกว่า LCL",""))</f>
        <v>✗ เกินเป้า</v>
      </c>
      <c r="H72" s="39"/>
      <c r="I72" s="39"/>
      <c r="J72" s="40" t="str">
        <f>IF('Energy Data'!J6="","",'Energy Data'!J6)</f>
        <v>บำรุงรักษาระบบปรับอากาศ ตรวจสอบ Compressor</v>
      </c>
      <c r="K72" s="40"/>
      <c r="L72" s="40"/>
    </row>
    <row r="73" spans="2:12" ht="30" customHeight="1">
      <c r="B73" s="6" t="str">
        <f>'Energy Data'!A7</f>
        <v>มีนาคม</v>
      </c>
      <c r="C73" s="7">
        <f>'Energy Data'!B7</f>
        <v>55500</v>
      </c>
      <c r="D73" s="7">
        <f>IF('Energy Data'!C7="","-",'Energy Data'!C7)</f>
        <v>59072</v>
      </c>
      <c r="E73" s="7">
        <f>IF('Energy Data'!D7="","-",'Energy Data'!D7)</f>
        <v>3572</v>
      </c>
      <c r="F73" s="8">
        <f>IF('Energy Data'!E7="","-",'Energy Data'!E7)</f>
        <v>6.4360360360360358E-2</v>
      </c>
      <c r="G73" s="35" t="str">
        <f>'Energy Data'!F7&amp;IF(AND('Energy Data'!C7&lt;&gt;"",'Energy Data'!C7&gt;'Energy Data'!G7),"  ⚠ เกิน UCL",IF(AND('Energy Data'!C7&lt;&gt;"",'Energy Data'!C7&lt;'Energy Data'!I7),"  ↓ ต่ำกว่า LCL",""))</f>
        <v>✗ เกินเป้า</v>
      </c>
      <c r="H73" s="35"/>
      <c r="I73" s="35"/>
      <c r="J73" s="36" t="str">
        <f>IF('Energy Data'!J7="","",'Energy Data'!J7)</f>
        <v>ประกาศมาตรการประหยัดพลังงานในสถานการณ์ราคาน้ำมันผันผวน</v>
      </c>
      <c r="K73" s="36"/>
      <c r="L73" s="36"/>
    </row>
    <row r="74" spans="2:12" ht="30" customHeight="1">
      <c r="B74" s="3" t="str">
        <f>'Energy Data'!A8</f>
        <v>เมษายน</v>
      </c>
      <c r="C74" s="4">
        <f>'Energy Data'!B8</f>
        <v>46500</v>
      </c>
      <c r="D74" s="4">
        <f>IF('Energy Data'!C8="","-",'Energy Data'!C8)</f>
        <v>56000</v>
      </c>
      <c r="E74" s="4">
        <f>IF('Energy Data'!D8="","-",'Energy Data'!D8)</f>
        <v>9500</v>
      </c>
      <c r="F74" s="5">
        <f>IF('Energy Data'!E8="","-",'Energy Data'!E8)</f>
        <v>0.20430107526881722</v>
      </c>
      <c r="G74" s="39" t="str">
        <f>'Energy Data'!F8&amp;IF(AND('Energy Data'!C8&lt;&gt;"",'Energy Data'!C8&gt;'Energy Data'!G8),"  ⚠ เกิน UCL",IF(AND('Energy Data'!C8&lt;&gt;"",'Energy Data'!C8&lt;'Energy Data'!I8),"  ↓ ต่ำกว่า LCL",""))</f>
        <v>✗ เกินเป้า</v>
      </c>
      <c r="H74" s="39"/>
      <c r="I74" s="39"/>
      <c r="J74" s="40" t="str">
        <f>IF('Energy Data'!J8="","",'Energy Data'!J8)</f>
        <v>รณรงค์ปิดไฟ-เครื่องปรับอากาศพักเที่ยง</v>
      </c>
      <c r="K74" s="40"/>
      <c r="L74" s="40"/>
    </row>
    <row r="75" spans="2:12" ht="30" customHeight="1">
      <c r="B75" s="6" t="str">
        <f>'Energy Data'!A9</f>
        <v>พฤษภาคม</v>
      </c>
      <c r="C75" s="7">
        <f>'Energy Data'!B9</f>
        <v>45800</v>
      </c>
      <c r="D75" s="7" t="str">
        <f>IF('Energy Data'!C9="","-",'Energy Data'!C9)</f>
        <v>-</v>
      </c>
      <c r="E75" s="7" t="str">
        <f>IF('Energy Data'!D9="","-",'Energy Data'!D9)</f>
        <v>-</v>
      </c>
      <c r="F75" s="8" t="str">
        <f>IF('Energy Data'!E9="","-",'Energy Data'!E9)</f>
        <v>-</v>
      </c>
      <c r="G75" s="35" t="str">
        <f>'Energy Data'!F9&amp;IF(AND('Energy Data'!C9&lt;&gt;"",'Energy Data'!C9&gt;'Energy Data'!G9),"  ⚠ เกิน UCL",IF(AND('Energy Data'!C9&lt;&gt;"",'Energy Data'!C9&lt;'Energy Data'!I9),"  ↓ ต่ำกว่า LCL",""))</f>
        <v>รอข้อมูล</v>
      </c>
      <c r="H75" s="35"/>
      <c r="I75" s="35"/>
      <c r="J75" s="36" t="str">
        <f>IF('Energy Data'!J9="","",'Energy Data'!J9)</f>
        <v/>
      </c>
      <c r="K75" s="36"/>
      <c r="L75" s="36"/>
    </row>
    <row r="76" spans="2:12" ht="30" customHeight="1">
      <c r="B76" s="3" t="str">
        <f>'Energy Data'!A10</f>
        <v>มิถุนายน</v>
      </c>
      <c r="C76" s="4">
        <f>'Energy Data'!B10</f>
        <v>58000</v>
      </c>
      <c r="D76" s="4" t="str">
        <f>IF('Energy Data'!C10="","-",'Energy Data'!C10)</f>
        <v>-</v>
      </c>
      <c r="E76" s="4" t="str">
        <f>IF('Energy Data'!D10="","-",'Energy Data'!D10)</f>
        <v>-</v>
      </c>
      <c r="F76" s="5" t="str">
        <f>IF('Energy Data'!E10="","-",'Energy Data'!E10)</f>
        <v>-</v>
      </c>
      <c r="G76" s="39" t="str">
        <f>'Energy Data'!F10&amp;IF(AND('Energy Data'!C10&lt;&gt;"",'Energy Data'!C10&gt;'Energy Data'!G10),"  ⚠ เกิน UCL",IF(AND('Energy Data'!C10&lt;&gt;"",'Energy Data'!C10&lt;'Energy Data'!I10),"  ↓ ต่ำกว่า LCL",""))</f>
        <v>รอข้อมูล</v>
      </c>
      <c r="H76" s="39"/>
      <c r="I76" s="39"/>
      <c r="J76" s="40" t="str">
        <f>IF('Energy Data'!J10="","",'Energy Data'!J10)</f>
        <v/>
      </c>
      <c r="K76" s="40"/>
      <c r="L76" s="40"/>
    </row>
    <row r="77" spans="2:12" ht="30" customHeight="1">
      <c r="B77" s="6" t="str">
        <f>'Energy Data'!A11</f>
        <v>กรกฎาคม</v>
      </c>
      <c r="C77" s="7">
        <f>'Energy Data'!B11</f>
        <v>67760</v>
      </c>
      <c r="D77" s="7" t="str">
        <f>IF('Energy Data'!C11="","-",'Energy Data'!C11)</f>
        <v>-</v>
      </c>
      <c r="E77" s="7" t="str">
        <f>IF('Energy Data'!D11="","-",'Energy Data'!D11)</f>
        <v>-</v>
      </c>
      <c r="F77" s="8" t="str">
        <f>IF('Energy Data'!E11="","-",'Energy Data'!E11)</f>
        <v>-</v>
      </c>
      <c r="G77" s="35" t="str">
        <f>'Energy Data'!F11&amp;IF(AND('Energy Data'!C11&lt;&gt;"",'Energy Data'!C11&gt;'Energy Data'!G11),"  ⚠ เกิน UCL",IF(AND('Energy Data'!C11&lt;&gt;"",'Energy Data'!C11&lt;'Energy Data'!I11),"  ↓ ต่ำกว่า LCL",""))</f>
        <v>รอข้อมูล</v>
      </c>
      <c r="H77" s="35"/>
      <c r="I77" s="35"/>
      <c r="J77" s="36" t="str">
        <f>IF('Energy Data'!J11="","",'Energy Data'!J11)</f>
        <v/>
      </c>
      <c r="K77" s="36"/>
      <c r="L77" s="36"/>
    </row>
    <row r="78" spans="2:12" ht="30" customHeight="1">
      <c r="B78" s="3" t="str">
        <f>'Energy Data'!A12</f>
        <v>สิงหาคม</v>
      </c>
      <c r="C78" s="4">
        <f>'Energy Data'!B12</f>
        <v>63900</v>
      </c>
      <c r="D78" s="4" t="str">
        <f>IF('Energy Data'!C12="","-",'Energy Data'!C12)</f>
        <v>-</v>
      </c>
      <c r="E78" s="4" t="str">
        <f>IF('Energy Data'!D12="","-",'Energy Data'!D12)</f>
        <v>-</v>
      </c>
      <c r="F78" s="5" t="str">
        <f>IF('Energy Data'!E12="","-",'Energy Data'!E12)</f>
        <v>-</v>
      </c>
      <c r="G78" s="39" t="str">
        <f>'Energy Data'!F12&amp;IF(AND('Energy Data'!C12&lt;&gt;"",'Energy Data'!C12&gt;'Energy Data'!G12),"  ⚠ เกิน UCL",IF(AND('Energy Data'!C12&lt;&gt;"",'Energy Data'!C12&lt;'Energy Data'!I12),"  ↓ ต่ำกว่า LCL",""))</f>
        <v>รอข้อมูล</v>
      </c>
      <c r="H78" s="39"/>
      <c r="I78" s="39"/>
      <c r="J78" s="40" t="str">
        <f>IF('Energy Data'!J12="","",'Energy Data'!J12)</f>
        <v/>
      </c>
      <c r="K78" s="40"/>
      <c r="L78" s="40"/>
    </row>
    <row r="79" spans="2:12" ht="30" customHeight="1">
      <c r="B79" s="6" t="str">
        <f>'Energy Data'!A13</f>
        <v>กันยายน</v>
      </c>
      <c r="C79" s="7">
        <f>'Energy Data'!B13</f>
        <v>67870</v>
      </c>
      <c r="D79" s="7" t="str">
        <f>IF('Energy Data'!C13="","-",'Energy Data'!C13)</f>
        <v>-</v>
      </c>
      <c r="E79" s="7" t="str">
        <f>IF('Energy Data'!D13="","-",'Energy Data'!D13)</f>
        <v>-</v>
      </c>
      <c r="F79" s="8" t="str">
        <f>IF('Energy Data'!E13="","-",'Energy Data'!E13)</f>
        <v>-</v>
      </c>
      <c r="G79" s="35" t="str">
        <f>'Energy Data'!F13&amp;IF(AND('Energy Data'!C13&lt;&gt;"",'Energy Data'!C13&gt;'Energy Data'!G13),"  ⚠ เกิน UCL",IF(AND('Energy Data'!C13&lt;&gt;"",'Energy Data'!C13&lt;'Energy Data'!I13),"  ↓ ต่ำกว่า LCL",""))</f>
        <v>รอข้อมูล</v>
      </c>
      <c r="H79" s="35"/>
      <c r="I79" s="35"/>
      <c r="J79" s="36" t="str">
        <f>IF('Energy Data'!J13="","",'Energy Data'!J13)</f>
        <v/>
      </c>
      <c r="K79" s="36"/>
      <c r="L79" s="36"/>
    </row>
    <row r="80" spans="2:12" ht="24.75" customHeight="1">
      <c r="B80" s="2" t="s">
        <v>18</v>
      </c>
      <c r="C80" s="9">
        <f>'Energy Data'!B14</f>
        <v>634800</v>
      </c>
      <c r="D80" s="9">
        <f>'Energy Data'!C14</f>
        <v>369990</v>
      </c>
      <c r="E80" s="9">
        <f>D80-C80</f>
        <v>-264810</v>
      </c>
      <c r="F80" s="10">
        <f>IFERROR((D80-C80)/C80,0)</f>
        <v>-0.41715500945179584</v>
      </c>
      <c r="G80" s="37" t="str">
        <f>COUNTIF(G68:G79,"*✓ บรรลุเป้า*")&amp;" บรรลุ / "&amp;COUNTIF(G68:G79,"*✗ เกินเป้า*")&amp;" เกิน"</f>
        <v>1 บรรลุ / 6 เกิน</v>
      </c>
      <c r="H80" s="37"/>
      <c r="I80" s="37"/>
      <c r="J80" s="38" t="s">
        <v>19</v>
      </c>
      <c r="K80" s="38"/>
      <c r="L80" s="38"/>
    </row>
    <row r="81" spans="2:2" ht="15" customHeight="1"/>
    <row r="82" spans="2:2" ht="15" customHeight="1">
      <c r="B82" s="11" t="s">
        <v>20</v>
      </c>
    </row>
    <row r="83" spans="2:2" ht="15" customHeight="1">
      <c r="B83" s="12" t="str">
        <f ca="1">("อัปเดตล่าสุด: "&amp;TEXT(TODAY(),"d mmm yyyy"))</f>
        <v>อัปเดตล่าสุด: 7 พ.ค. 2026</v>
      </c>
    </row>
    <row r="84" spans="2:2" ht="15" customHeight="1"/>
    <row r="85" spans="2:2" ht="15" customHeight="1"/>
    <row r="86" spans="2:2" ht="27.75" customHeight="1"/>
    <row r="87" spans="2:2" ht="25.5" customHeight="1"/>
    <row r="88" spans="2:2" ht="31.5" customHeight="1"/>
    <row r="89" spans="2:2" ht="31.5" customHeight="1"/>
    <row r="90" spans="2:2" ht="31.5" customHeight="1"/>
    <row r="91" spans="2:2" ht="31.5" customHeight="1"/>
    <row r="92" spans="2:2" ht="31.5" customHeight="1"/>
    <row r="93" spans="2:2" ht="31.5" customHeight="1"/>
    <row r="94" spans="2:2" ht="31.5" customHeight="1"/>
    <row r="95" spans="2:2" ht="31.5" customHeight="1"/>
    <row r="96" spans="2:2" ht="31.5" customHeight="1"/>
    <row r="97" spans="2:12" ht="31.5" customHeight="1"/>
    <row r="98" spans="2:12" ht="31.5" customHeight="1"/>
    <row r="99" spans="2:12" ht="31.5" customHeight="1"/>
    <row r="100" spans="2:12" ht="25.5" customHeight="1"/>
    <row r="102" spans="2:12" ht="24.75" customHeight="1"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</row>
    <row r="103" spans="2:12" ht="15" customHeight="1"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</row>
  </sheetData>
  <mergeCells count="46">
    <mergeCell ref="B2:L3"/>
    <mergeCell ref="B4:L4"/>
    <mergeCell ref="B6:D6"/>
    <mergeCell ref="F6:H6"/>
    <mergeCell ref="J6:L6"/>
    <mergeCell ref="B7:D9"/>
    <mergeCell ref="F7:H9"/>
    <mergeCell ref="J7:L9"/>
    <mergeCell ref="B11:D11"/>
    <mergeCell ref="F11:H11"/>
    <mergeCell ref="J11:L11"/>
    <mergeCell ref="B12:D14"/>
    <mergeCell ref="F12:H14"/>
    <mergeCell ref="J12:L14"/>
    <mergeCell ref="B16:L16"/>
    <mergeCell ref="B40:L40"/>
    <mergeCell ref="G67:I67"/>
    <mergeCell ref="J67:L67"/>
    <mergeCell ref="G68:I68"/>
    <mergeCell ref="J68:L68"/>
    <mergeCell ref="G69:I69"/>
    <mergeCell ref="J69:L69"/>
    <mergeCell ref="G70:I70"/>
    <mergeCell ref="J70:L70"/>
    <mergeCell ref="G71:I71"/>
    <mergeCell ref="J71:L71"/>
    <mergeCell ref="G72:I72"/>
    <mergeCell ref="J72:L72"/>
    <mergeCell ref="G73:I73"/>
    <mergeCell ref="J73:L73"/>
    <mergeCell ref="G74:I74"/>
    <mergeCell ref="J74:L74"/>
    <mergeCell ref="G75:I75"/>
    <mergeCell ref="J75:L75"/>
    <mergeCell ref="G76:I76"/>
    <mergeCell ref="J76:L76"/>
    <mergeCell ref="G77:I77"/>
    <mergeCell ref="J77:L77"/>
    <mergeCell ref="G78:I78"/>
    <mergeCell ref="J78:L78"/>
    <mergeCell ref="B103:L103"/>
    <mergeCell ref="G79:I79"/>
    <mergeCell ref="J79:L79"/>
    <mergeCell ref="G80:I80"/>
    <mergeCell ref="J80:L80"/>
    <mergeCell ref="B102:L102"/>
  </mergeCells>
  <conditionalFormatting sqref="F68:F79">
    <cfRule type="expression" dxfId="10" priority="5">
      <formula>AND(ISNUMBER(F68), F68&lt;=0)</formula>
    </cfRule>
    <cfRule type="expression" dxfId="9" priority="6">
      <formula>AND(ISNUMBER(F68), F68&gt;0)</formula>
    </cfRule>
  </conditionalFormatting>
  <conditionalFormatting sqref="F80">
    <cfRule type="expression" dxfId="8" priority="7">
      <formula>AND(ISNUMBER(F80), F80&lt;=0)</formula>
    </cfRule>
    <cfRule type="expression" dxfId="7" priority="8">
      <formula>AND(ISNUMBER(F80), F80&gt;0)</formula>
    </cfRule>
  </conditionalFormatting>
  <conditionalFormatting sqref="G88:G99">
    <cfRule type="expression" dxfId="6" priority="2">
      <formula>ISNUMBER(SEARCH("✓ บรรลุเป้า",$G88))</formula>
    </cfRule>
    <cfRule type="expression" dxfId="5" priority="3">
      <formula>ISNUMBER(SEARCH("✗ เกินเป้า",$G88))</formula>
    </cfRule>
    <cfRule type="expression" dxfId="4" priority="4">
      <formula>ISNUMBER(SEARCH("รอข้อมูล",$G88))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showGridLines="0" tabSelected="1" zoomScaleNormal="100" workbookViewId="0">
      <pane ySplit="1" topLeftCell="A2" activePane="bottomLeft" state="frozen"/>
      <selection pane="bottomLeft" activeCell="G21" sqref="G21"/>
    </sheetView>
  </sheetViews>
  <sheetFormatPr defaultColWidth="8.7109375" defaultRowHeight="15"/>
  <cols>
    <col min="1" max="1" width="22" customWidth="1"/>
    <col min="2" max="2" width="16" customWidth="1"/>
    <col min="3" max="3" width="18" customWidth="1"/>
    <col min="4" max="4" width="14" customWidth="1"/>
    <col min="5" max="5" width="12" customWidth="1"/>
    <col min="6" max="6" width="16" customWidth="1"/>
    <col min="7" max="9" width="12" customWidth="1"/>
    <col min="10" max="10" width="50" customWidth="1"/>
  </cols>
  <sheetData>
    <row r="1" spans="1:10" ht="37.5" customHeight="1">
      <c r="A1" s="13" t="s">
        <v>11</v>
      </c>
      <c r="B1" s="13" t="s">
        <v>21</v>
      </c>
      <c r="C1" s="13" t="s">
        <v>22</v>
      </c>
      <c r="D1" s="13" t="s">
        <v>23</v>
      </c>
      <c r="E1" s="13" t="s">
        <v>15</v>
      </c>
      <c r="F1" s="13" t="s">
        <v>24</v>
      </c>
      <c r="G1" s="13" t="s">
        <v>25</v>
      </c>
      <c r="H1" s="13" t="s">
        <v>26</v>
      </c>
      <c r="I1" s="13" t="s">
        <v>27</v>
      </c>
      <c r="J1" s="13" t="s">
        <v>17</v>
      </c>
    </row>
    <row r="2" spans="1:10" ht="19.5" customHeight="1">
      <c r="A2" s="14" t="s">
        <v>28</v>
      </c>
      <c r="B2" s="7">
        <v>64090</v>
      </c>
      <c r="C2" s="7">
        <v>64651</v>
      </c>
      <c r="D2" s="7">
        <f t="shared" ref="D2:D13" si="0">IF(C2="","",C2-B2)</f>
        <v>561</v>
      </c>
      <c r="E2" s="8">
        <f t="shared" ref="E2:E13" si="1">IF(OR(C2="",B2=0),"",(C2-B2)/B2)</f>
        <v>8.7533156498673746E-3</v>
      </c>
      <c r="F2" s="15" t="str">
        <f t="shared" ref="F2:F13" si="2">IF(C2="","รอข้อมูล",IF(C2&lt;=B2,"✓ บรรลุเป้า","✗ เกินเป้า"))</f>
        <v>✗ เกินเป้า</v>
      </c>
      <c r="G2" s="7">
        <v>67870</v>
      </c>
      <c r="H2" s="7">
        <v>52900</v>
      </c>
      <c r="I2" s="7">
        <v>31660</v>
      </c>
      <c r="J2" s="16" t="s">
        <v>29</v>
      </c>
    </row>
    <row r="3" spans="1:10" ht="19.5" customHeight="1">
      <c r="A3" s="17" t="s">
        <v>30</v>
      </c>
      <c r="B3" s="4">
        <v>48020</v>
      </c>
      <c r="C3" s="4">
        <v>46920</v>
      </c>
      <c r="D3" s="4">
        <f t="shared" si="0"/>
        <v>-1100</v>
      </c>
      <c r="E3" s="5">
        <f t="shared" si="1"/>
        <v>-2.2907122032486463E-2</v>
      </c>
      <c r="F3" s="15" t="str">
        <f t="shared" si="2"/>
        <v>✓ บรรลุเป้า</v>
      </c>
      <c r="G3" s="4">
        <v>67870</v>
      </c>
      <c r="H3" s="4">
        <v>52900</v>
      </c>
      <c r="I3" s="4">
        <v>31660</v>
      </c>
      <c r="J3" s="18" t="s">
        <v>31</v>
      </c>
    </row>
    <row r="4" spans="1:10" ht="19.5" customHeight="1">
      <c r="A4" s="14" t="s">
        <v>32</v>
      </c>
      <c r="B4" s="7">
        <v>38800</v>
      </c>
      <c r="C4" s="7">
        <v>47464</v>
      </c>
      <c r="D4" s="7">
        <f t="shared" si="0"/>
        <v>8664</v>
      </c>
      <c r="E4" s="8">
        <f t="shared" si="1"/>
        <v>0.22329896907216495</v>
      </c>
      <c r="F4" s="15" t="str">
        <f t="shared" si="2"/>
        <v>✗ เกินเป้า</v>
      </c>
      <c r="G4" s="7">
        <v>67870</v>
      </c>
      <c r="H4" s="7">
        <v>52900</v>
      </c>
      <c r="I4" s="7">
        <v>31660</v>
      </c>
      <c r="J4" s="16" t="s">
        <v>33</v>
      </c>
    </row>
    <row r="5" spans="1:10" ht="19.5" customHeight="1">
      <c r="A5" s="17" t="s">
        <v>34</v>
      </c>
      <c r="B5" s="4">
        <v>31660</v>
      </c>
      <c r="C5" s="4">
        <v>33709</v>
      </c>
      <c r="D5" s="4">
        <f t="shared" si="0"/>
        <v>2049</v>
      </c>
      <c r="E5" s="5">
        <f t="shared" si="1"/>
        <v>6.4718888186986734E-2</v>
      </c>
      <c r="F5" s="15" t="str">
        <f t="shared" si="2"/>
        <v>✗ เกินเป้า</v>
      </c>
      <c r="G5" s="4">
        <v>67870</v>
      </c>
      <c r="H5" s="4">
        <v>52900</v>
      </c>
      <c r="I5" s="4">
        <v>31660</v>
      </c>
      <c r="J5" s="18" t="s">
        <v>35</v>
      </c>
    </row>
    <row r="6" spans="1:10" ht="19.5" customHeight="1">
      <c r="A6" s="14" t="s">
        <v>36</v>
      </c>
      <c r="B6" s="7">
        <v>46900</v>
      </c>
      <c r="C6" s="7">
        <v>62174</v>
      </c>
      <c r="D6" s="7">
        <f t="shared" si="0"/>
        <v>15274</v>
      </c>
      <c r="E6" s="8">
        <f t="shared" si="1"/>
        <v>0.3256716417910448</v>
      </c>
      <c r="F6" s="15" t="str">
        <f t="shared" si="2"/>
        <v>✗ เกินเป้า</v>
      </c>
      <c r="G6" s="7">
        <v>67870</v>
      </c>
      <c r="H6" s="7">
        <v>52900</v>
      </c>
      <c r="I6" s="7">
        <v>31660</v>
      </c>
      <c r="J6" s="16" t="s">
        <v>37</v>
      </c>
    </row>
    <row r="7" spans="1:10" ht="19.5" customHeight="1">
      <c r="A7" s="17" t="s">
        <v>38</v>
      </c>
      <c r="B7" s="4">
        <v>55500</v>
      </c>
      <c r="C7" s="4">
        <v>59072</v>
      </c>
      <c r="D7" s="4">
        <f t="shared" si="0"/>
        <v>3572</v>
      </c>
      <c r="E7" s="5">
        <f t="shared" si="1"/>
        <v>6.4360360360360358E-2</v>
      </c>
      <c r="F7" s="15" t="str">
        <f t="shared" si="2"/>
        <v>✗ เกินเป้า</v>
      </c>
      <c r="G7" s="4">
        <v>67870</v>
      </c>
      <c r="H7" s="4">
        <v>52900</v>
      </c>
      <c r="I7" s="4">
        <v>31660</v>
      </c>
      <c r="J7" s="18" t="s">
        <v>39</v>
      </c>
    </row>
    <row r="8" spans="1:10" ht="19.5" customHeight="1">
      <c r="A8" s="14" t="s">
        <v>40</v>
      </c>
      <c r="B8" s="7">
        <v>46500</v>
      </c>
      <c r="C8" s="7">
        <v>56000</v>
      </c>
      <c r="D8" s="7">
        <f t="shared" si="0"/>
        <v>9500</v>
      </c>
      <c r="E8" s="8">
        <f t="shared" si="1"/>
        <v>0.20430107526881722</v>
      </c>
      <c r="F8" s="15" t="str">
        <f t="shared" si="2"/>
        <v>✗ เกินเป้า</v>
      </c>
      <c r="G8" s="7">
        <v>67870</v>
      </c>
      <c r="H8" s="7">
        <v>52900</v>
      </c>
      <c r="I8" s="7">
        <v>31660</v>
      </c>
      <c r="J8" s="16" t="s">
        <v>41</v>
      </c>
    </row>
    <row r="9" spans="1:10" ht="19.5" customHeight="1">
      <c r="A9" s="17" t="s">
        <v>42</v>
      </c>
      <c r="B9" s="4">
        <v>45800</v>
      </c>
      <c r="C9" s="4"/>
      <c r="D9" s="4" t="str">
        <f t="shared" si="0"/>
        <v/>
      </c>
      <c r="E9" s="5" t="str">
        <f t="shared" si="1"/>
        <v/>
      </c>
      <c r="F9" s="15" t="str">
        <f t="shared" si="2"/>
        <v>รอข้อมูล</v>
      </c>
      <c r="G9" s="4">
        <v>67870</v>
      </c>
      <c r="H9" s="4">
        <v>52900</v>
      </c>
      <c r="I9" s="4">
        <v>31660</v>
      </c>
      <c r="J9" s="18"/>
    </row>
    <row r="10" spans="1:10" ht="19.5" customHeight="1">
      <c r="A10" s="14" t="s">
        <v>43</v>
      </c>
      <c r="B10" s="7">
        <v>58000</v>
      </c>
      <c r="C10" s="7"/>
      <c r="D10" s="7" t="str">
        <f t="shared" si="0"/>
        <v/>
      </c>
      <c r="E10" s="8" t="str">
        <f t="shared" si="1"/>
        <v/>
      </c>
      <c r="F10" s="15" t="str">
        <f t="shared" si="2"/>
        <v>รอข้อมูล</v>
      </c>
      <c r="G10" s="7">
        <v>67870</v>
      </c>
      <c r="H10" s="7">
        <v>52900</v>
      </c>
      <c r="I10" s="7">
        <v>31660</v>
      </c>
      <c r="J10" s="16"/>
    </row>
    <row r="11" spans="1:10" ht="19.5" customHeight="1">
      <c r="A11" s="17" t="s">
        <v>44</v>
      </c>
      <c r="B11" s="4">
        <v>67760</v>
      </c>
      <c r="C11" s="4"/>
      <c r="D11" s="4" t="str">
        <f t="shared" si="0"/>
        <v/>
      </c>
      <c r="E11" s="5" t="str">
        <f t="shared" si="1"/>
        <v/>
      </c>
      <c r="F11" s="15" t="str">
        <f t="shared" si="2"/>
        <v>รอข้อมูล</v>
      </c>
      <c r="G11" s="4">
        <v>67870</v>
      </c>
      <c r="H11" s="4">
        <v>52900</v>
      </c>
      <c r="I11" s="4">
        <v>31660</v>
      </c>
      <c r="J11" s="18"/>
    </row>
    <row r="12" spans="1:10" ht="19.5" customHeight="1">
      <c r="A12" s="14" t="s">
        <v>45</v>
      </c>
      <c r="B12" s="7">
        <v>63900</v>
      </c>
      <c r="C12" s="7"/>
      <c r="D12" s="7" t="str">
        <f t="shared" si="0"/>
        <v/>
      </c>
      <c r="E12" s="8" t="str">
        <f t="shared" si="1"/>
        <v/>
      </c>
      <c r="F12" s="15" t="str">
        <f t="shared" si="2"/>
        <v>รอข้อมูล</v>
      </c>
      <c r="G12" s="7">
        <v>67870</v>
      </c>
      <c r="H12" s="7">
        <v>52900</v>
      </c>
      <c r="I12" s="7">
        <v>31660</v>
      </c>
      <c r="J12" s="16"/>
    </row>
    <row r="13" spans="1:10" ht="19.5" customHeight="1">
      <c r="A13" s="17" t="s">
        <v>46</v>
      </c>
      <c r="B13" s="4">
        <v>67870</v>
      </c>
      <c r="C13" s="4"/>
      <c r="D13" s="4" t="str">
        <f t="shared" si="0"/>
        <v/>
      </c>
      <c r="E13" s="5" t="str">
        <f t="shared" si="1"/>
        <v/>
      </c>
      <c r="F13" s="15" t="str">
        <f t="shared" si="2"/>
        <v>รอข้อมูล</v>
      </c>
      <c r="G13" s="4">
        <v>67870</v>
      </c>
      <c r="H13" s="4">
        <v>52900</v>
      </c>
      <c r="I13" s="4">
        <v>31660</v>
      </c>
      <c r="J13" s="18"/>
    </row>
    <row r="14" spans="1:10" ht="21.75" customHeight="1">
      <c r="A14" s="2" t="s">
        <v>47</v>
      </c>
      <c r="B14" s="9">
        <f>SUM(B2:B13)</f>
        <v>634800</v>
      </c>
      <c r="C14" s="9">
        <f>SUM(C2:C13)</f>
        <v>369990</v>
      </c>
      <c r="D14" s="9">
        <f>C14-B14</f>
        <v>-264810</v>
      </c>
      <c r="E14" s="19">
        <f>IFERROR((C14-B14)/B14,0)</f>
        <v>-0.41715500945179584</v>
      </c>
      <c r="F14" s="2" t="str">
        <f>"เดือนที่มีข้อมูล: "&amp;COUNT(C2:C13)</f>
        <v>เดือนที่มีข้อมูล: 7</v>
      </c>
      <c r="G14" s="2"/>
      <c r="H14" s="2"/>
      <c r="I14" s="2"/>
      <c r="J14" s="20" t="s">
        <v>48</v>
      </c>
    </row>
    <row r="15" spans="1:10" ht="21.75" customHeight="1">
      <c r="A15" s="2" t="s">
        <v>49</v>
      </c>
      <c r="B15" s="9">
        <f>AVERAGE(B2:B13)</f>
        <v>52900</v>
      </c>
      <c r="C15" s="9">
        <f>IFERROR(AVERAGE(C2:C13),0)</f>
        <v>52855.714285714283</v>
      </c>
      <c r="D15" s="9">
        <f>C15-B15</f>
        <v>-44.285714285717404</v>
      </c>
      <c r="E15" s="19">
        <f>IFERROR((C15-B15)/B15,0)</f>
        <v>-8.3715906022150104E-4</v>
      </c>
      <c r="F15" s="2"/>
      <c r="G15" s="2"/>
      <c r="H15" s="2"/>
      <c r="I15" s="2"/>
      <c r="J15" s="20" t="s">
        <v>50</v>
      </c>
    </row>
    <row r="16" spans="1:10" ht="7.5" customHeight="1"/>
    <row r="17" spans="1:10" ht="25.5" customHeight="1">
      <c r="A17" s="33" t="s">
        <v>51</v>
      </c>
      <c r="B17" s="33"/>
      <c r="C17" s="33"/>
      <c r="D17" s="33"/>
      <c r="E17" s="33"/>
      <c r="F17" s="33"/>
      <c r="G17" s="33"/>
      <c r="H17" s="33"/>
      <c r="I17" s="33"/>
      <c r="J17" s="33"/>
    </row>
    <row r="18" spans="1:10" ht="21.75" customHeight="1">
      <c r="A18" s="21" t="s">
        <v>25</v>
      </c>
      <c r="B18" s="22">
        <v>67870</v>
      </c>
      <c r="J18" s="23" t="s">
        <v>52</v>
      </c>
    </row>
    <row r="19" spans="1:10" ht="21.75" customHeight="1">
      <c r="A19" s="21" t="s">
        <v>26</v>
      </c>
      <c r="B19" s="22">
        <v>52900</v>
      </c>
      <c r="J19" s="23" t="s">
        <v>53</v>
      </c>
    </row>
    <row r="20" spans="1:10" ht="21.75" customHeight="1">
      <c r="A20" s="21" t="s">
        <v>27</v>
      </c>
      <c r="B20" s="22">
        <v>31660</v>
      </c>
      <c r="J20" s="23" t="s">
        <v>52</v>
      </c>
    </row>
    <row r="21" spans="1:10" ht="21.75" customHeight="1">
      <c r="A21" s="21" t="s">
        <v>54</v>
      </c>
      <c r="B21" s="24">
        <f>ROUND(STDEV(B2:B13),0)</f>
        <v>11775</v>
      </c>
      <c r="J21" s="23" t="s">
        <v>55</v>
      </c>
    </row>
    <row r="22" spans="1:10" ht="21.75" customHeight="1">
      <c r="A22" s="21" t="s">
        <v>56</v>
      </c>
      <c r="B22" s="24">
        <f>B14</f>
        <v>634800</v>
      </c>
      <c r="J22" s="23" t="s">
        <v>57</v>
      </c>
    </row>
  </sheetData>
  <mergeCells count="1">
    <mergeCell ref="A17:J17"/>
  </mergeCells>
  <conditionalFormatting sqref="C2:C13">
    <cfRule type="expression" dxfId="3" priority="5">
      <formula>AND($C2&lt;&gt;"",$C2&gt;$G2)</formula>
    </cfRule>
  </conditionalFormatting>
  <conditionalFormatting sqref="F2:F13">
    <cfRule type="expression" dxfId="2" priority="2">
      <formula>$F2="✓ บรรลุเป้า"</formula>
    </cfRule>
    <cfRule type="expression" dxfId="1" priority="3">
      <formula>$F2="✗ เกินเป้า"</formula>
    </cfRule>
    <cfRule type="expression" dxfId="0" priority="4">
      <formula>$F2="รอข้อมูล"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showGridLines="0" zoomScaleNormal="100" workbookViewId="0"/>
  </sheetViews>
  <sheetFormatPr defaultColWidth="8.7109375" defaultRowHeight="15"/>
  <cols>
    <col min="1" max="1" width="16" customWidth="1"/>
    <col min="2" max="8" width="14" customWidth="1"/>
    <col min="9" max="9" width="12" customWidth="1"/>
  </cols>
  <sheetData>
    <row r="1" spans="1:9" ht="27.75" customHeight="1">
      <c r="A1" s="67" t="s">
        <v>58</v>
      </c>
      <c r="B1" s="67"/>
      <c r="C1" s="67"/>
      <c r="D1" s="67"/>
      <c r="E1" s="67"/>
      <c r="F1" s="67"/>
      <c r="G1" s="67"/>
      <c r="H1" s="67"/>
      <c r="I1" s="25" t="s">
        <v>59</v>
      </c>
    </row>
    <row r="2" spans="1:9" ht="31.5" customHeight="1">
      <c r="A2" s="13" t="s">
        <v>11</v>
      </c>
      <c r="B2" s="13" t="s">
        <v>60</v>
      </c>
      <c r="C2" s="13" t="s">
        <v>61</v>
      </c>
      <c r="D2" s="13" t="s">
        <v>62</v>
      </c>
      <c r="E2" s="13" t="s">
        <v>63</v>
      </c>
      <c r="F2" s="13" t="s">
        <v>64</v>
      </c>
      <c r="G2" s="13" t="s">
        <v>65</v>
      </c>
      <c r="H2" s="13" t="s">
        <v>66</v>
      </c>
      <c r="I2" s="26">
        <v>1.0229999999999999</v>
      </c>
    </row>
    <row r="3" spans="1:9" ht="19.5" customHeight="1">
      <c r="A3" s="15" t="s">
        <v>28</v>
      </c>
      <c r="B3" s="27">
        <v>72558</v>
      </c>
      <c r="C3" s="27">
        <v>61836</v>
      </c>
      <c r="D3" s="27">
        <v>71213</v>
      </c>
      <c r="E3" s="27">
        <f t="shared" ref="E3:E14" si="0">AVERAGE(B3:D3)</f>
        <v>68535.666666666672</v>
      </c>
      <c r="F3" s="27">
        <f t="shared" ref="F3:F14" si="1">MAX(B3:D3)-MIN(B3:D3)</f>
        <v>10722</v>
      </c>
      <c r="G3" s="27">
        <f t="shared" ref="G3:G14" si="2">$E$17+$I$2*$F$17</f>
        <v>68554.656138888895</v>
      </c>
      <c r="H3" s="27">
        <f t="shared" ref="H3:H14" si="3">MAX($E$17-$I$2*$F$17,0)</f>
        <v>47411.121638888901</v>
      </c>
    </row>
    <row r="4" spans="1:9" ht="19.5" customHeight="1">
      <c r="A4" s="28" t="s">
        <v>30</v>
      </c>
      <c r="B4" s="29">
        <v>44327</v>
      </c>
      <c r="C4" s="29">
        <v>54285</v>
      </c>
      <c r="D4" s="29">
        <v>53360</v>
      </c>
      <c r="E4" s="29">
        <f t="shared" si="0"/>
        <v>50657.333333333336</v>
      </c>
      <c r="F4" s="29">
        <f t="shared" si="1"/>
        <v>9958</v>
      </c>
      <c r="G4" s="29">
        <f t="shared" si="2"/>
        <v>68554.656138888895</v>
      </c>
      <c r="H4" s="29">
        <f t="shared" si="3"/>
        <v>47411.121638888901</v>
      </c>
    </row>
    <row r="5" spans="1:9" ht="19.5" customHeight="1">
      <c r="A5" s="15" t="s">
        <v>32</v>
      </c>
      <c r="B5" s="27">
        <v>39605</v>
      </c>
      <c r="C5" s="27">
        <v>51115</v>
      </c>
      <c r="D5" s="27">
        <v>43115</v>
      </c>
      <c r="E5" s="27">
        <f t="shared" si="0"/>
        <v>44611.666666666664</v>
      </c>
      <c r="F5" s="27">
        <f t="shared" si="1"/>
        <v>11510</v>
      </c>
      <c r="G5" s="27">
        <f t="shared" si="2"/>
        <v>68554.656138888895</v>
      </c>
      <c r="H5" s="27">
        <f t="shared" si="3"/>
        <v>47411.121638888901</v>
      </c>
    </row>
    <row r="6" spans="1:9" ht="19.5" customHeight="1">
      <c r="A6" s="28" t="s">
        <v>34</v>
      </c>
      <c r="B6" s="29">
        <v>48600</v>
      </c>
      <c r="C6" s="29">
        <v>47013</v>
      </c>
      <c r="D6" s="29">
        <v>35179</v>
      </c>
      <c r="E6" s="29">
        <f t="shared" si="0"/>
        <v>43597.333333333336</v>
      </c>
      <c r="F6" s="29">
        <f t="shared" si="1"/>
        <v>13421</v>
      </c>
      <c r="G6" s="29">
        <f t="shared" si="2"/>
        <v>68554.656138888895</v>
      </c>
      <c r="H6" s="29">
        <f t="shared" si="3"/>
        <v>47411.121638888901</v>
      </c>
    </row>
    <row r="7" spans="1:9" ht="19.5" customHeight="1">
      <c r="A7" s="15" t="s">
        <v>36</v>
      </c>
      <c r="B7" s="27">
        <v>38222</v>
      </c>
      <c r="C7" s="27">
        <v>60584</v>
      </c>
      <c r="D7" s="27">
        <v>52192</v>
      </c>
      <c r="E7" s="27">
        <f t="shared" si="0"/>
        <v>50332.666666666664</v>
      </c>
      <c r="F7" s="27">
        <f t="shared" si="1"/>
        <v>22362</v>
      </c>
      <c r="G7" s="27">
        <f t="shared" si="2"/>
        <v>68554.656138888895</v>
      </c>
      <c r="H7" s="27">
        <f t="shared" si="3"/>
        <v>47411.121638888901</v>
      </c>
    </row>
    <row r="8" spans="1:9" ht="19.5" customHeight="1">
      <c r="A8" s="28" t="s">
        <v>38</v>
      </c>
      <c r="B8" s="29">
        <v>56059</v>
      </c>
      <c r="C8" s="29">
        <v>68817</v>
      </c>
      <c r="D8" s="29">
        <v>61632</v>
      </c>
      <c r="E8" s="29">
        <f t="shared" si="0"/>
        <v>62169.333333333336</v>
      </c>
      <c r="F8" s="29">
        <f t="shared" si="1"/>
        <v>12758</v>
      </c>
      <c r="G8" s="29">
        <f t="shared" si="2"/>
        <v>68554.656138888895</v>
      </c>
      <c r="H8" s="29">
        <f t="shared" si="3"/>
        <v>47411.121638888901</v>
      </c>
    </row>
    <row r="9" spans="1:9" ht="19.5" customHeight="1">
      <c r="A9" s="15" t="s">
        <v>40</v>
      </c>
      <c r="B9" s="27">
        <v>42145</v>
      </c>
      <c r="C9" s="27">
        <v>51525</v>
      </c>
      <c r="D9" s="27">
        <v>51667</v>
      </c>
      <c r="E9" s="27">
        <f t="shared" si="0"/>
        <v>48445.666666666664</v>
      </c>
      <c r="F9" s="27">
        <f t="shared" si="1"/>
        <v>9522</v>
      </c>
      <c r="G9" s="27">
        <f t="shared" si="2"/>
        <v>68554.656138888895</v>
      </c>
      <c r="H9" s="27">
        <f t="shared" si="3"/>
        <v>47411.121638888901</v>
      </c>
    </row>
    <row r="10" spans="1:9" ht="19.5" customHeight="1">
      <c r="A10" s="28" t="s">
        <v>42</v>
      </c>
      <c r="B10" s="29">
        <v>47620</v>
      </c>
      <c r="C10" s="29">
        <v>47350</v>
      </c>
      <c r="D10" s="29">
        <v>50883</v>
      </c>
      <c r="E10" s="29">
        <f t="shared" si="0"/>
        <v>48617.666666666664</v>
      </c>
      <c r="F10" s="29">
        <f t="shared" si="1"/>
        <v>3533</v>
      </c>
      <c r="G10" s="29">
        <f t="shared" si="2"/>
        <v>68554.656138888895</v>
      </c>
      <c r="H10" s="29">
        <f t="shared" si="3"/>
        <v>47411.121638888901</v>
      </c>
    </row>
    <row r="11" spans="1:9" ht="19.5" customHeight="1">
      <c r="A11" s="15" t="s">
        <v>43</v>
      </c>
      <c r="B11" s="27">
        <v>59371</v>
      </c>
      <c r="C11" s="27">
        <v>60762</v>
      </c>
      <c r="D11" s="27">
        <v>64393</v>
      </c>
      <c r="E11" s="27">
        <f t="shared" si="0"/>
        <v>61508.666666666664</v>
      </c>
      <c r="F11" s="27">
        <f t="shared" si="1"/>
        <v>5022</v>
      </c>
      <c r="G11" s="27">
        <f t="shared" si="2"/>
        <v>68554.656138888895</v>
      </c>
      <c r="H11" s="27">
        <f t="shared" si="3"/>
        <v>47411.121638888901</v>
      </c>
    </row>
    <row r="12" spans="1:9" ht="19.5" customHeight="1">
      <c r="A12" s="28" t="s">
        <v>44</v>
      </c>
      <c r="B12" s="29">
        <v>68310</v>
      </c>
      <c r="C12" s="29">
        <v>75417</v>
      </c>
      <c r="D12" s="29">
        <v>75290</v>
      </c>
      <c r="E12" s="29">
        <f t="shared" si="0"/>
        <v>73005.666666666672</v>
      </c>
      <c r="F12" s="29">
        <f t="shared" si="1"/>
        <v>7107</v>
      </c>
      <c r="G12" s="29">
        <f t="shared" si="2"/>
        <v>68554.656138888895</v>
      </c>
      <c r="H12" s="29">
        <f t="shared" si="3"/>
        <v>47411.121638888901</v>
      </c>
    </row>
    <row r="13" spans="1:9" ht="19.5" customHeight="1">
      <c r="A13" s="15" t="s">
        <v>45</v>
      </c>
      <c r="B13" s="27">
        <v>64954</v>
      </c>
      <c r="C13" s="27">
        <v>74411</v>
      </c>
      <c r="D13" s="27">
        <v>70991</v>
      </c>
      <c r="E13" s="27">
        <f t="shared" si="0"/>
        <v>70118.666666666672</v>
      </c>
      <c r="F13" s="27">
        <f t="shared" si="1"/>
        <v>9457</v>
      </c>
      <c r="G13" s="27">
        <f t="shared" si="2"/>
        <v>68554.656138888895</v>
      </c>
      <c r="H13" s="27">
        <f t="shared" si="3"/>
        <v>47411.121638888901</v>
      </c>
    </row>
    <row r="14" spans="1:9" ht="19.5" customHeight="1">
      <c r="A14" s="28" t="s">
        <v>46</v>
      </c>
      <c r="B14" s="29">
        <v>69268</v>
      </c>
      <c r="C14" s="29">
        <v>77905</v>
      </c>
      <c r="D14" s="29">
        <v>75410</v>
      </c>
      <c r="E14" s="29">
        <f t="shared" si="0"/>
        <v>74194.333333333328</v>
      </c>
      <c r="F14" s="29">
        <f t="shared" si="1"/>
        <v>8637</v>
      </c>
      <c r="G14" s="29">
        <f t="shared" si="2"/>
        <v>68554.656138888895</v>
      </c>
      <c r="H14" s="29">
        <f t="shared" si="3"/>
        <v>47411.121638888901</v>
      </c>
    </row>
    <row r="15" spans="1:9" ht="21.75" customHeight="1">
      <c r="A15" s="30" t="s">
        <v>18</v>
      </c>
      <c r="B15" s="31">
        <f>SUM(B3:B14)</f>
        <v>651039</v>
      </c>
      <c r="C15" s="31">
        <f>SUM(C3:C14)</f>
        <v>731020</v>
      </c>
      <c r="D15" s="31">
        <f>SUM(D3:D14)</f>
        <v>705325</v>
      </c>
      <c r="E15" s="31">
        <f>SUM(E3:E14)</f>
        <v>695794.66666666674</v>
      </c>
      <c r="F15" s="31">
        <f>SUM(F3:F14)</f>
        <v>124009</v>
      </c>
      <c r="G15" s="31"/>
      <c r="H15" s="31"/>
    </row>
    <row r="16" spans="1:9" ht="21.75" customHeight="1">
      <c r="A16" s="30" t="s">
        <v>67</v>
      </c>
      <c r="B16" s="31">
        <f>AVERAGE(B3:B14)</f>
        <v>54253.25</v>
      </c>
      <c r="C16" s="31">
        <f>AVERAGE(C3:C14)</f>
        <v>60918.333333333336</v>
      </c>
      <c r="D16" s="31">
        <f>AVERAGE(D3:D14)</f>
        <v>58777.083333333336</v>
      </c>
      <c r="E16" s="31">
        <f>AVERAGE(E3:E14)</f>
        <v>57982.888888888898</v>
      </c>
      <c r="F16" s="31">
        <f>AVERAGE(F3:F14)</f>
        <v>10334.083333333334</v>
      </c>
      <c r="G16" s="31"/>
      <c r="H16" s="31"/>
    </row>
    <row r="17" spans="1:8" ht="21.75" customHeight="1">
      <c r="A17" s="30" t="s">
        <v>68</v>
      </c>
      <c r="B17" s="31"/>
      <c r="C17" s="31"/>
      <c r="D17" s="31"/>
      <c r="E17" s="31">
        <f>AVERAGE(E3:E14)</f>
        <v>57982.888888888898</v>
      </c>
      <c r="F17" s="31">
        <f>AVERAGE(F3:F14)</f>
        <v>10334.083333333334</v>
      </c>
      <c r="G17" s="31"/>
      <c r="H17" s="31"/>
    </row>
    <row r="19" spans="1:8" ht="15" customHeight="1">
      <c r="A19" s="68" t="s">
        <v>69</v>
      </c>
      <c r="B19" s="68"/>
      <c r="C19" s="68"/>
      <c r="D19" s="68"/>
      <c r="E19" s="68"/>
      <c r="F19" s="68"/>
      <c r="G19" s="68"/>
      <c r="H19" s="68"/>
    </row>
    <row r="20" spans="1:8" ht="19.5" customHeight="1">
      <c r="A20" s="66" t="s">
        <v>70</v>
      </c>
      <c r="B20" s="66"/>
      <c r="C20" s="66"/>
      <c r="D20" s="66"/>
      <c r="E20" s="66"/>
      <c r="F20" s="66"/>
      <c r="G20" s="66"/>
      <c r="H20" s="66"/>
    </row>
    <row r="21" spans="1:8" ht="19.5" customHeight="1">
      <c r="A21" s="66" t="s">
        <v>71</v>
      </c>
      <c r="B21" s="66"/>
      <c r="C21" s="66"/>
      <c r="D21" s="66"/>
      <c r="E21" s="66"/>
      <c r="F21" s="66"/>
      <c r="G21" s="66"/>
      <c r="H21" s="66"/>
    </row>
    <row r="22" spans="1:8" ht="19.5" customHeight="1">
      <c r="A22" s="66" t="s">
        <v>72</v>
      </c>
      <c r="B22" s="66"/>
      <c r="C22" s="66"/>
      <c r="D22" s="66"/>
      <c r="E22" s="66"/>
      <c r="F22" s="66"/>
      <c r="G22" s="66"/>
      <c r="H22" s="66"/>
    </row>
    <row r="23" spans="1:8" ht="19.5" customHeight="1">
      <c r="A23" s="66" t="s">
        <v>73</v>
      </c>
      <c r="B23" s="66"/>
      <c r="C23" s="66"/>
      <c r="D23" s="66"/>
      <c r="E23" s="66"/>
      <c r="F23" s="66"/>
      <c r="G23" s="66"/>
      <c r="H23" s="66"/>
    </row>
    <row r="24" spans="1:8" ht="19.5" customHeight="1">
      <c r="A24" s="66" t="s">
        <v>74</v>
      </c>
      <c r="B24" s="66"/>
      <c r="C24" s="66"/>
      <c r="D24" s="66"/>
      <c r="E24" s="66"/>
      <c r="F24" s="66"/>
      <c r="G24" s="66"/>
      <c r="H24" s="66"/>
    </row>
    <row r="25" spans="1:8" ht="19.5" customHeight="1">
      <c r="A25" s="66" t="s">
        <v>75</v>
      </c>
      <c r="B25" s="66"/>
      <c r="C25" s="66"/>
      <c r="D25" s="66"/>
      <c r="E25" s="66"/>
      <c r="F25" s="66"/>
      <c r="G25" s="66"/>
      <c r="H25" s="66"/>
    </row>
    <row r="26" spans="1:8" ht="19.5" customHeight="1">
      <c r="A26" s="66" t="s">
        <v>76</v>
      </c>
      <c r="B26" s="66"/>
      <c r="C26" s="66"/>
      <c r="D26" s="66"/>
      <c r="E26" s="66"/>
      <c r="F26" s="66"/>
      <c r="G26" s="66"/>
      <c r="H26" s="66"/>
    </row>
    <row r="27" spans="1:8" ht="19.5" customHeight="1">
      <c r="A27" s="66" t="s">
        <v>77</v>
      </c>
      <c r="B27" s="66"/>
      <c r="C27" s="66"/>
      <c r="D27" s="66"/>
      <c r="E27" s="66"/>
      <c r="F27" s="66"/>
      <c r="G27" s="66"/>
      <c r="H27" s="66"/>
    </row>
    <row r="28" spans="1:8" ht="15" customHeight="1">
      <c r="A28" s="32" t="s">
        <v>78</v>
      </c>
    </row>
    <row r="29" spans="1:8" ht="25.5" customHeight="1">
      <c r="A29" s="61" t="s">
        <v>79</v>
      </c>
      <c r="B29" s="61"/>
      <c r="C29" s="61"/>
      <c r="D29" s="61"/>
      <c r="E29" s="61"/>
      <c r="F29" s="61"/>
      <c r="G29" s="61"/>
      <c r="H29" s="61"/>
    </row>
    <row r="30" spans="1:8" ht="27.75" customHeight="1">
      <c r="A30" s="62" t="s">
        <v>25</v>
      </c>
      <c r="B30" s="62"/>
      <c r="C30" s="62"/>
      <c r="D30" s="62"/>
      <c r="E30" s="62"/>
      <c r="F30" s="63">
        <v>67870</v>
      </c>
      <c r="G30" s="63"/>
      <c r="H30" s="63"/>
    </row>
    <row r="31" spans="1:8" ht="27.75" customHeight="1">
      <c r="A31" s="64" t="s">
        <v>26</v>
      </c>
      <c r="B31" s="64"/>
      <c r="C31" s="64"/>
      <c r="D31" s="64"/>
      <c r="E31" s="64"/>
      <c r="F31" s="65">
        <v>52900</v>
      </c>
      <c r="G31" s="65"/>
      <c r="H31" s="65"/>
    </row>
    <row r="32" spans="1:8" ht="27.75" customHeight="1">
      <c r="A32" s="59" t="s">
        <v>27</v>
      </c>
      <c r="B32" s="59"/>
      <c r="C32" s="59"/>
      <c r="D32" s="59"/>
      <c r="E32" s="59"/>
      <c r="F32" s="60">
        <v>31660</v>
      </c>
      <c r="G32" s="60"/>
      <c r="H32" s="60"/>
    </row>
  </sheetData>
  <mergeCells count="17">
    <mergeCell ref="A1:H1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32:E32"/>
    <mergeCell ref="F32:H32"/>
    <mergeCell ref="A29:H29"/>
    <mergeCell ref="A30:E30"/>
    <mergeCell ref="F30:H30"/>
    <mergeCell ref="A31:E31"/>
    <mergeCell ref="F31:H3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7"/>
  <sheetViews>
    <sheetView showGridLines="0" zoomScaleNormal="100" workbookViewId="0"/>
  </sheetViews>
  <sheetFormatPr defaultColWidth="8.7109375" defaultRowHeight="15"/>
  <cols>
    <col min="1" max="1" width="2" customWidth="1"/>
    <col min="2" max="7" width="18" customWidth="1"/>
  </cols>
  <sheetData>
    <row r="2" spans="2:7" ht="30" customHeight="1">
      <c r="B2" s="74" t="s">
        <v>80</v>
      </c>
      <c r="C2" s="74"/>
      <c r="D2" s="74"/>
      <c r="E2" s="74"/>
      <c r="F2" s="74"/>
      <c r="G2" s="74"/>
    </row>
    <row r="3" spans="2:7" ht="30" customHeight="1">
      <c r="B3" s="74"/>
      <c r="C3" s="74"/>
      <c r="D3" s="74"/>
      <c r="E3" s="74"/>
      <c r="F3" s="74"/>
      <c r="G3" s="74"/>
    </row>
    <row r="5" spans="2:7" ht="27.75" customHeight="1">
      <c r="B5" s="75" t="s">
        <v>81</v>
      </c>
      <c r="C5" s="75"/>
      <c r="D5" s="75"/>
      <c r="E5" s="75"/>
      <c r="F5" s="75"/>
      <c r="G5" s="75"/>
    </row>
    <row r="6" spans="2:7" ht="21.75" customHeight="1">
      <c r="B6" s="69" t="s">
        <v>82</v>
      </c>
      <c r="C6" s="69"/>
      <c r="D6" s="69"/>
      <c r="E6" s="69"/>
      <c r="F6" s="69"/>
      <c r="G6" s="69"/>
    </row>
    <row r="7" spans="2:7" ht="21.75" customHeight="1">
      <c r="B7" s="69" t="s">
        <v>83</v>
      </c>
      <c r="C7" s="69"/>
      <c r="D7" s="69"/>
      <c r="E7" s="69"/>
      <c r="F7" s="69"/>
      <c r="G7" s="69"/>
    </row>
    <row r="8" spans="2:7" ht="21.75" customHeight="1">
      <c r="B8" s="69" t="s">
        <v>84</v>
      </c>
      <c r="C8" s="69"/>
      <c r="D8" s="69"/>
      <c r="E8" s="69"/>
      <c r="F8" s="69"/>
      <c r="G8" s="69"/>
    </row>
    <row r="9" spans="2:7" ht="21.75" customHeight="1">
      <c r="B9" s="69" t="s">
        <v>85</v>
      </c>
      <c r="C9" s="69"/>
      <c r="D9" s="69"/>
      <c r="E9" s="69"/>
      <c r="F9" s="69"/>
      <c r="G9" s="69"/>
    </row>
    <row r="11" spans="2:7" ht="27.75" customHeight="1">
      <c r="B11" s="73" t="s">
        <v>86</v>
      </c>
      <c r="C11" s="73"/>
      <c r="D11" s="73"/>
      <c r="E11" s="73"/>
      <c r="F11" s="73"/>
      <c r="G11" s="73"/>
    </row>
    <row r="12" spans="2:7" ht="21.75" customHeight="1">
      <c r="B12" s="69" t="s">
        <v>87</v>
      </c>
      <c r="C12" s="69"/>
      <c r="D12" s="69"/>
      <c r="E12" s="69"/>
      <c r="F12" s="69"/>
      <c r="G12" s="69"/>
    </row>
    <row r="13" spans="2:7" ht="21.75" customHeight="1">
      <c r="B13" s="69" t="s">
        <v>88</v>
      </c>
      <c r="C13" s="69"/>
      <c r="D13" s="69"/>
      <c r="E13" s="69"/>
      <c r="F13" s="69"/>
      <c r="G13" s="69"/>
    </row>
    <row r="14" spans="2:7" ht="21.75" customHeight="1">
      <c r="B14" s="69" t="s">
        <v>89</v>
      </c>
      <c r="C14" s="69"/>
      <c r="D14" s="69"/>
      <c r="E14" s="69"/>
      <c r="F14" s="69"/>
      <c r="G14" s="69"/>
    </row>
    <row r="15" spans="2:7" ht="21.75" customHeight="1">
      <c r="B15" s="69" t="s">
        <v>90</v>
      </c>
      <c r="C15" s="69"/>
      <c r="D15" s="69"/>
      <c r="E15" s="69"/>
      <c r="F15" s="69"/>
      <c r="G15" s="69"/>
    </row>
    <row r="16" spans="2:7" ht="21.75" customHeight="1">
      <c r="B16" s="69" t="s">
        <v>91</v>
      </c>
      <c r="C16" s="69"/>
      <c r="D16" s="69"/>
      <c r="E16" s="69"/>
      <c r="F16" s="69"/>
      <c r="G16" s="69"/>
    </row>
    <row r="18" spans="2:7" ht="27.75" customHeight="1">
      <c r="B18" s="72" t="s">
        <v>92</v>
      </c>
      <c r="C18" s="72"/>
      <c r="D18" s="72"/>
      <c r="E18" s="72"/>
      <c r="F18" s="72"/>
      <c r="G18" s="72"/>
    </row>
    <row r="19" spans="2:7" ht="21.75" customHeight="1">
      <c r="B19" s="69" t="s">
        <v>93</v>
      </c>
      <c r="C19" s="69"/>
      <c r="D19" s="69"/>
      <c r="E19" s="69"/>
      <c r="F19" s="69"/>
      <c r="G19" s="69"/>
    </row>
    <row r="20" spans="2:7" ht="21.75" customHeight="1">
      <c r="B20" s="69" t="s">
        <v>94</v>
      </c>
      <c r="C20" s="69"/>
      <c r="D20" s="69"/>
      <c r="E20" s="69"/>
      <c r="F20" s="69"/>
      <c r="G20" s="69"/>
    </row>
    <row r="21" spans="2:7" ht="21.75" customHeight="1">
      <c r="B21" s="69" t="s">
        <v>95</v>
      </c>
      <c r="C21" s="69"/>
      <c r="D21" s="69"/>
      <c r="E21" s="69"/>
      <c r="F21" s="69"/>
      <c r="G21" s="69"/>
    </row>
    <row r="22" spans="2:7" ht="21.75" customHeight="1">
      <c r="B22" s="69" t="s">
        <v>96</v>
      </c>
      <c r="C22" s="69"/>
      <c r="D22" s="69"/>
      <c r="E22" s="69"/>
      <c r="F22" s="69"/>
      <c r="G22" s="69"/>
    </row>
    <row r="23" spans="2:7" ht="21.75" customHeight="1">
      <c r="B23" s="69" t="s">
        <v>97</v>
      </c>
      <c r="C23" s="69"/>
      <c r="D23" s="69"/>
      <c r="E23" s="69"/>
      <c r="F23" s="69"/>
      <c r="G23" s="69"/>
    </row>
    <row r="25" spans="2:7" ht="27.75" customHeight="1">
      <c r="B25" s="71" t="s">
        <v>98</v>
      </c>
      <c r="C25" s="71"/>
      <c r="D25" s="71"/>
      <c r="E25" s="71"/>
      <c r="F25" s="71"/>
      <c r="G25" s="71"/>
    </row>
    <row r="26" spans="2:7" ht="21.75" customHeight="1">
      <c r="B26" s="69" t="s">
        <v>99</v>
      </c>
      <c r="C26" s="69"/>
      <c r="D26" s="69"/>
      <c r="E26" s="69"/>
      <c r="F26" s="69"/>
      <c r="G26" s="69"/>
    </row>
    <row r="27" spans="2:7" ht="21.75" customHeight="1">
      <c r="B27" s="69" t="s">
        <v>100</v>
      </c>
      <c r="C27" s="69"/>
      <c r="D27" s="69"/>
      <c r="E27" s="69"/>
      <c r="F27" s="69"/>
      <c r="G27" s="69"/>
    </row>
    <row r="28" spans="2:7" ht="21.75" customHeight="1">
      <c r="B28" s="69" t="s">
        <v>101</v>
      </c>
      <c r="C28" s="69"/>
      <c r="D28" s="69"/>
      <c r="E28" s="69"/>
      <c r="F28" s="69"/>
      <c r="G28" s="69"/>
    </row>
    <row r="29" spans="2:7" ht="21.75" customHeight="1">
      <c r="B29" s="69" t="s">
        <v>102</v>
      </c>
      <c r="C29" s="69"/>
      <c r="D29" s="69"/>
      <c r="E29" s="69"/>
      <c r="F29" s="69"/>
      <c r="G29" s="69"/>
    </row>
    <row r="30" spans="2:7" ht="21.75" customHeight="1">
      <c r="B30" s="69" t="s">
        <v>103</v>
      </c>
      <c r="C30" s="69"/>
      <c r="D30" s="69"/>
      <c r="E30" s="69"/>
      <c r="F30" s="69"/>
      <c r="G30" s="69"/>
    </row>
    <row r="32" spans="2:7" ht="27.75" customHeight="1">
      <c r="B32" s="70" t="s">
        <v>104</v>
      </c>
      <c r="C32" s="70"/>
      <c r="D32" s="70"/>
      <c r="E32" s="70"/>
      <c r="F32" s="70"/>
      <c r="G32" s="70"/>
    </row>
    <row r="33" spans="2:7" ht="21.75" customHeight="1">
      <c r="B33" s="69" t="s">
        <v>105</v>
      </c>
      <c r="C33" s="69"/>
      <c r="D33" s="69"/>
      <c r="E33" s="69"/>
      <c r="F33" s="69"/>
      <c r="G33" s="69"/>
    </row>
    <row r="34" spans="2:7" ht="21.75" customHeight="1">
      <c r="B34" s="69" t="s">
        <v>106</v>
      </c>
      <c r="C34" s="69"/>
      <c r="D34" s="69"/>
      <c r="E34" s="69"/>
      <c r="F34" s="69"/>
      <c r="G34" s="69"/>
    </row>
    <row r="35" spans="2:7" ht="21.75" customHeight="1">
      <c r="B35" s="69" t="s">
        <v>107</v>
      </c>
      <c r="C35" s="69"/>
      <c r="D35" s="69"/>
      <c r="E35" s="69"/>
      <c r="F35" s="69"/>
      <c r="G35" s="69"/>
    </row>
    <row r="36" spans="2:7" ht="21.75" customHeight="1">
      <c r="B36" s="69" t="s">
        <v>108</v>
      </c>
      <c r="C36" s="69"/>
      <c r="D36" s="69"/>
      <c r="E36" s="69"/>
      <c r="F36" s="69"/>
      <c r="G36" s="69"/>
    </row>
    <row r="37" spans="2:7" ht="21.75" customHeight="1">
      <c r="B37" s="69" t="s">
        <v>109</v>
      </c>
      <c r="C37" s="69"/>
      <c r="D37" s="69"/>
      <c r="E37" s="69"/>
      <c r="F37" s="69"/>
      <c r="G37" s="69"/>
    </row>
  </sheetData>
  <mergeCells count="30">
    <mergeCell ref="B2:G3"/>
    <mergeCell ref="B5:G5"/>
    <mergeCell ref="B6:G6"/>
    <mergeCell ref="B7:G7"/>
    <mergeCell ref="B8:G8"/>
    <mergeCell ref="B9:G9"/>
    <mergeCell ref="B11:G11"/>
    <mergeCell ref="B12:G12"/>
    <mergeCell ref="B13:G13"/>
    <mergeCell ref="B14:G14"/>
    <mergeCell ref="B15:G15"/>
    <mergeCell ref="B16:G16"/>
    <mergeCell ref="B18:G18"/>
    <mergeCell ref="B19:G19"/>
    <mergeCell ref="B20:G20"/>
    <mergeCell ref="B21:G21"/>
    <mergeCell ref="B22:G22"/>
    <mergeCell ref="B23:G23"/>
    <mergeCell ref="B25:G25"/>
    <mergeCell ref="B26:G26"/>
    <mergeCell ref="B27:G27"/>
    <mergeCell ref="B28:G28"/>
    <mergeCell ref="B29:G29"/>
    <mergeCell ref="B30:G30"/>
    <mergeCell ref="B32:G32"/>
    <mergeCell ref="B33:G33"/>
    <mergeCell ref="B34:G34"/>
    <mergeCell ref="B35:G35"/>
    <mergeCell ref="B36:G36"/>
    <mergeCell ref="B37:G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Energy Data</vt:lpstr>
      <vt:lpstr>คำนวณ CL</vt:lpstr>
      <vt:lpstr>คำแนะนำ Real-time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Kanpitcha Kiatkitroj</cp:lastModifiedBy>
  <cp:revision>18</cp:revision>
  <dcterms:created xsi:type="dcterms:W3CDTF">2026-05-05T10:35:42Z</dcterms:created>
  <dcterms:modified xsi:type="dcterms:W3CDTF">2026-05-07T11:21:08Z</dcterms:modified>
  <dc:language>en-US</dc:language>
</cp:coreProperties>
</file>